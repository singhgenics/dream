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puts" sheetId="2" state="visible" r:id="rId4"/>
    <sheet name="BreakEven" sheetId="3" state="visible" r:id="rId5"/>
    <sheet name="Seasons" sheetId="4" state="visible" r:id="rId6"/>
    <sheet name="Setup" sheetId="5" state="visible" r:id="rId7"/>
    <sheet name="Men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<sst xmlns="http://schemas.openxmlformats.org/spreadsheetml/2006/main" count="224" uniqueCount="197">
  <si>
    <t xml:space="preserve">Restaurant Economics Calculator</t>
  </si>
  <si>
    <t xml:space="preserve">Betalbatim 24-seat Chinese-Tibetan-Korean kitchen</t>
  </si>
  <si>
    <t xml:space="preserve">How to use</t>
  </si>
  <si>
    <t xml:space="preserve">1. Edit only the blue cells on 'Inputs'</t>
  </si>
  <si>
    <t xml:space="preserve">Yellow-filled blue cells are inputs. Black cells are formulas. Green cells pull from another sheet.</t>
  </si>
  <si>
    <t xml:space="preserve">2. Read the results</t>
  </si>
  <si>
    <t xml:space="preserve">BreakEven: sales needed to cover costs. Seasons: 12-month profit. Setup: startup budget and payback. Menu: dish-level pricing check.</t>
  </si>
  <si>
    <t xml:space="preserve">3. Replace my estimates</t>
  </si>
  <si>
    <t xml:space="preserve">Wages, deposit, interior costs, utilities and ingredient costs are estimates, not quotes. Replace them with real quotes before deciding.</t>
  </si>
  <si>
    <t xml:space="preserve">Key terms</t>
  </si>
  <si>
    <t xml:space="preserve">Covers</t>
  </si>
  <si>
    <t xml:space="preserve">Number of guests served.</t>
  </si>
  <si>
    <t xml:space="preserve">ASP</t>
  </si>
  <si>
    <t xml:space="preserve">Average spend per head, before GST.</t>
  </si>
  <si>
    <t xml:space="preserve">Food cost %</t>
  </si>
  <si>
    <t xml:space="preserve">Ingredient cost divided by sales. Aim for a blended 28-31%.</t>
  </si>
  <si>
    <t xml:space="preserve">Contribution margin</t>
  </si>
  <si>
    <t xml:space="preserve">Share of each rupee of sales left after variable costs. Break-even sales = fixed costs / contribution margin.</t>
  </si>
  <si>
    <t xml:space="preserve">Prime cost</t>
  </si>
  <si>
    <t xml:space="preserve">Food cost plus staff cost as a share of sales. Aim for 60-65% or lower.</t>
  </si>
  <si>
    <t xml:space="preserve">Not included</t>
  </si>
  <si>
    <t xml:space="preserve">Owner's pay</t>
  </si>
  <si>
    <t xml:space="preserve">Set to 0 on Inputs. If you work front-of-house unpaid, enter a drawing there to see the true profit.</t>
  </si>
  <si>
    <t xml:space="preserve">Income tax and GST</t>
  </si>
  <si>
    <t xml:space="preserve">Menu prices are treated as before GST. 5% GST is collected from guests and is not your income. Income tax is not modelled.</t>
  </si>
  <si>
    <t xml:space="preserve">Repairs and replacement</t>
  </si>
  <si>
    <t xml:space="preserve">Only a small allowance is in 'Repairs, licences, software, marketing'. Equipment will need replacing over time.</t>
  </si>
  <si>
    <t xml:space="preserve">Delivery apps</t>
  </si>
  <si>
    <t xml:space="preserve">Not modelled. Aggregators take about 20-25% commission, which would cut the contribution margin sharply.</t>
  </si>
  <si>
    <t xml:space="preserve">Inputs</t>
  </si>
  <si>
    <t xml:space="preserve">Edit the blue cells. Everything else recalculates.</t>
  </si>
  <si>
    <t xml:space="preserve">SALES</t>
  </si>
  <si>
    <t xml:space="preserve">Average spend per head, ASP (₹, before GST)</t>
  </si>
  <si>
    <t xml:space="preserve">From your plan: planning range ₹400-700.</t>
  </si>
  <si>
    <t xml:space="preserve">Seats</t>
  </si>
  <si>
    <t xml:space="preserve">Opening size from your plan; flex to about 30 in peak.</t>
  </si>
  <si>
    <t xml:space="preserve">Days open per month</t>
  </si>
  <si>
    <t xml:space="preserve">Reduce if you close one day a week.</t>
  </si>
  <si>
    <t xml:space="preserve">What-if covers per day</t>
  </si>
  <si>
    <t xml:space="preserve">Used on BreakEven to test a single scenario.</t>
  </si>
  <si>
    <t xml:space="preserve">Items ordered per guest</t>
  </si>
  <si>
    <t xml:space="preserve">Estimate; used on Menu to check the implied ASP.</t>
  </si>
  <si>
    <t xml:space="preserve">FIXED COSTS (₹ per month)</t>
  </si>
  <si>
    <t xml:space="preserve">Rent</t>
  </si>
  <si>
    <t xml:space="preserve">Your figure.</t>
  </si>
  <si>
    <t xml:space="preserve">Chef</t>
  </si>
  <si>
    <t xml:space="preserve">Estimate: Chinese/Tibetan wok-trained, also cooks the Korean items.</t>
  </si>
  <si>
    <t xml:space="preserve">Kitchen helper</t>
  </si>
  <si>
    <t xml:space="preserve">Estimate.</t>
  </si>
  <si>
    <t xml:space="preserve">Server / cashier</t>
  </si>
  <si>
    <t xml:space="preserve">Estimate: third staff member.</t>
  </si>
  <si>
    <t xml:space="preserve">Electricity, gas, water, internet</t>
  </si>
  <si>
    <t xml:space="preserve">Estimate. A wok-heavy kitchen uses a lot of gas; track it in month one.</t>
  </si>
  <si>
    <t xml:space="preserve">Repairs, licences, software, marketing</t>
  </si>
  <si>
    <t xml:space="preserve">Owner's drawing (optional)</t>
  </si>
  <si>
    <t xml:space="preserve">Enter a salary for yourself to see profit after paying yourself.</t>
  </si>
  <si>
    <t xml:space="preserve">Total fixed costs per month</t>
  </si>
  <si>
    <t xml:space="preserve">VARIABLE COSTS (% of sales)</t>
  </si>
  <si>
    <t xml:space="preserve">Blended target 28-31% from your plan. The Menu sheet shows what your dishes actually imply.</t>
  </si>
  <si>
    <t xml:space="preserve">Waste allowance (on ingredient cost)</t>
  </si>
  <si>
    <t xml:space="preserve">Spillage, over-portioning, staff meals. Typical range 4-8%. Used on Menu.</t>
  </si>
  <si>
    <t xml:space="preserve">Card/UPI fees and packaging %</t>
  </si>
  <si>
    <t xml:space="preserve">Total variable cost %</t>
  </si>
  <si>
    <t xml:space="preserve">SEASONS</t>
  </si>
  <si>
    <t xml:space="preserve">Season</t>
  </si>
  <si>
    <t xml:space="preserve">Covers per day</t>
  </si>
  <si>
    <t xml:space="preserve">Note</t>
  </si>
  <si>
    <t xml:space="preserve">Peak</t>
  </si>
  <si>
    <t xml:space="preserve">Nov-Mar. Illustrative: assumes a good season.</t>
  </si>
  <si>
    <t xml:space="preserve">Shoulder</t>
  </si>
  <si>
    <t xml:space="preserve">Apr-May, Sep-Oct.</t>
  </si>
  <si>
    <t xml:space="preserve">Monsoon</t>
  </si>
  <si>
    <t xml:space="preserve">Jun-Aug. Many Goa beach places shut; you won't, but footfall drops.</t>
  </si>
  <si>
    <t xml:space="preserve">Safety haircut on annual profit</t>
  </si>
  <si>
    <t xml:space="preserve">First-year plans are usually optimistic. Seasons shows profit before and after this haircut.</t>
  </si>
  <si>
    <t xml:space="preserve">SETUP COSTS (one-time)</t>
  </si>
  <si>
    <t xml:space="preserve">Rent deposit (months of rent)</t>
  </si>
  <si>
    <t xml:space="preserve">Typical Goa lease: 3-6 months. Negotiate it.</t>
  </si>
  <si>
    <t xml:space="preserve">Rent deposit amount</t>
  </si>
  <si>
    <t xml:space="preserve">Interiors, furniture, lighting (24 seats)</t>
  </si>
  <si>
    <t xml:space="preserve">Estimate. Get 2-3 quotes.</t>
  </si>
  <si>
    <t xml:space="preserve">Kitchen equipment (wok burner, steamers, fryer, fridge)</t>
  </si>
  <si>
    <t xml:space="preserve">Estimate. Buying second-hand can cut this.</t>
  </si>
  <si>
    <t xml:space="preserve">Licences, FSSAI, trade licence, signage</t>
  </si>
  <si>
    <t xml:space="preserve">POS, menu printing, launch marketing</t>
  </si>
  <si>
    <t xml:space="preserve">Crockery, cutlery, opening stock</t>
  </si>
  <si>
    <t xml:space="preserve">Cash reserve (months of fixed costs)</t>
  </si>
  <si>
    <t xml:space="preserve">Cushion for the monsoon months. Do not skip it.</t>
  </si>
  <si>
    <t xml:space="preserve">Your total budget (₹)</t>
  </si>
  <si>
    <t xml:space="preserve">From your plan: about ₹10.5 lakh, flexible to ₹11-12 lakh.</t>
  </si>
  <si>
    <t xml:space="preserve">Break-even and what-if</t>
  </si>
  <si>
    <t xml:space="preserve">All values calculate from Inputs.</t>
  </si>
  <si>
    <t xml:space="preserve">BREAK-EVEN</t>
  </si>
  <si>
    <t xml:space="preserve">Fixed costs per month</t>
  </si>
  <si>
    <t xml:space="preserve">Break-even sales per month</t>
  </si>
  <si>
    <t xml:space="preserve">Break-even sales per day</t>
  </si>
  <si>
    <t xml:space="preserve">Break-even covers per day</t>
  </si>
  <si>
    <t xml:space="preserve">Seat turns per day at break-even</t>
  </si>
  <si>
    <t xml:space="preserve">Rent as % of sales at break-even</t>
  </si>
  <si>
    <t xml:space="preserve">Rent above about 15% of sales is a warning sign.</t>
  </si>
  <si>
    <t xml:space="preserve">WHAT-IF (covers per day from Inputs)</t>
  </si>
  <si>
    <t xml:space="preserve">Monthly sales</t>
  </si>
  <si>
    <t xml:space="preserve">Food cost</t>
  </si>
  <si>
    <t xml:space="preserve">Card fees and packaging</t>
  </si>
  <si>
    <t xml:space="preserve">Fixed costs</t>
  </si>
  <si>
    <t xml:space="preserve">Monthly profit (before tax)</t>
  </si>
  <si>
    <t xml:space="preserve">Net margin</t>
  </si>
  <si>
    <t xml:space="preserve">Prime cost % (food + staff)</t>
  </si>
  <si>
    <t xml:space="preserve">Aim for 60-65% or lower.</t>
  </si>
  <si>
    <t xml:space="preserve">Rent % of sales</t>
  </si>
  <si>
    <t xml:space="preserve">Verdict</t>
  </si>
  <si>
    <t xml:space="preserve">MONTHLY PROFIT: covers per day (down) by ASP (across)</t>
  </si>
  <si>
    <t xml:space="preserve">Covers per day / ASP (₹)</t>
  </si>
  <si>
    <t xml:space="preserve">Red numbers are monthly losses. Change the blue covers and ASP values to test other cases.</t>
  </si>
  <si>
    <t xml:space="preserve">12-month profit by season</t>
  </si>
  <si>
    <t xml:space="preserve">Pick each month's season in column B (Peak, Shoulder, Monsoon). Covers come from Inputs.</t>
  </si>
  <si>
    <t xml:space="preserve">Month</t>
  </si>
  <si>
    <t xml:space="preserve">Covers/day</t>
  </si>
  <si>
    <t xml:space="preserve">Days</t>
  </si>
  <si>
    <t xml:space="preserve">Sales</t>
  </si>
  <si>
    <t xml:space="preserve">Fees &amp; packaging</t>
  </si>
  <si>
    <t xml:space="preserve">Profit</t>
  </si>
  <si>
    <t xml:space="preserve">Prime cost %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</si>
  <si>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</si>
  <si>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</si>
  <si>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</si>
  <si>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</si>
  <si>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</si>
  <si>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</si>
  <si>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</si>
  <si>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</si>
  <si>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</si>
  <si>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</si>
  <si>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</si>
  <si>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</si>
  <si>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Year total</t>
  </si>
  <si>
    <t xml:space="preserve">SUMMARY</t>
  </si>
  <si>
    <t xml:space="preserve">Annual sales</t>
  </si>
  <si>
    <t xml:space="preserve">Annual profit before haircut</t>
  </si>
  <si>
    <t xml:space="preserve">Annual profit after safety haircut</t>
  </si>
  <si>
    <t xml:space="preserve">Average monthly profit (after haircut)</t>
  </si>
  <si>
    <t xml:space="preserve">Total losses in loss-making months</t>
  </si>
  <si>
    <t xml:space="preserve">Number of loss-making months</t>
  </si>
  <si>
    <t xml:space="preserve">Profit is before owner's pay (unless entered on Inputs), income tax, and repair/replacement costs beyond the small allowance.</t>
  </si>
  <si>
    <t xml:space="preserve">Setup budget and payback</t>
  </si>
  <si>
    <t xml:space="preserve">Pulls from Inputs and Seasons.</t>
  </si>
  <si>
    <t xml:space="preserve">ONE-TIME COSTS</t>
  </si>
  <si>
    <t xml:space="preserve">Rent deposit</t>
  </si>
  <si>
    <t xml:space="preserve">Interiors, furniture, lighting</t>
  </si>
  <si>
    <t xml:space="preserve">Kitchen equipment</t>
  </si>
  <si>
    <t xml:space="preserve">Licences, FSSAI, signage</t>
  </si>
  <si>
    <t xml:space="preserve">POS, menu, launch marketing</t>
  </si>
  <si>
    <t xml:space="preserve">Setup total</t>
  </si>
  <si>
    <t xml:space="preserve">Cash reserve</t>
  </si>
  <si>
    <t xml:space="preserve">Months of fixed costs from Inputs.</t>
  </si>
  <si>
    <t xml:space="preserve">Total with reserve</t>
  </si>
  <si>
    <t xml:space="preserve">Your budget</t>
  </si>
  <si>
    <t xml:space="preserve">Headroom (budget minus total)</t>
  </si>
  <si>
    <t xml:space="preserve">Negative means the plan exceeds your budget: cut costs or shrink the reserve.</t>
  </si>
  <si>
    <t xml:space="preserve">PAYBACK</t>
  </si>
  <si>
    <t xml:space="preserve">Setup cost (excluding reserve)</t>
  </si>
  <si>
    <t xml:space="preserve">Payback in months (conservative)</t>
  </si>
  <si>
    <t xml:space="preserve">Treat any payback under 12 months with suspicion; 18-30 months is normal.</t>
  </si>
  <si>
    <t xml:space="preserve">Shoulder-season monthly profit</t>
  </si>
  <si>
    <t xml:space="preserve">Payback in months at shoulder profit</t>
  </si>
  <si>
    <t xml:space="preserve">Monsoon-type losses over the year</t>
  </si>
  <si>
    <t xml:space="preserve">Does the reserve cover those losses?</t>
  </si>
  <si>
    <t xml:space="preserve">Menu pricing check</t>
  </si>
  <si>
    <t xml:space="preserve">Dish prices and ingredient costs are my estimates; replace them with your real recipe costs.</t>
  </si>
  <si>
    <t xml:space="preserve">Dish</t>
  </si>
  <si>
    <t xml:space="preserve">Price (₹, pre-GST)</t>
  </si>
  <si>
    <t xml:space="preserve">Ingredient cost (₹)</t>
  </si>
  <si>
    <t xml:space="preserve">Share of items sold</t>
  </si>
  <si>
    <t xml:space="preserve">Cost incl. waste (₹)</t>
  </si>
  <si>
    <t xml:space="preserve">Food cost % (theory)</t>
  </si>
  <si>
    <t xml:space="preserve">Food cost % (actual)</t>
  </si>
  <si>
    <t xml:space="preserve">Gross margin (₹)</t>
  </si>
  <si>
    <t xml:space="preserve">Min price at target (₹)</t>
  </si>
  <si>
    <t xml:space="preserve">Status</t>
  </si>
  <si>
    <t xml:space="preserve">Steamed momos (6 pc)</t>
  </si>
  <si>
    <t xml:space="preserve">Thukpa</t>
  </si>
  <si>
    <t xml:space="preserve">Veg fried rice / noodles</t>
  </si>
  <si>
    <t xml:space="preserve">Chicken fried rice / noodles</t>
  </si>
  <si>
    <t xml:space="preserve">Chilli chicken</t>
  </si>
  <si>
    <t xml:space="preserve">Kimchi fried rice</t>
  </si>
  <si>
    <t xml:space="preserve">Korean fried chicken wings</t>
  </si>
  <si>
    <t xml:space="preserve">Soft drink / lime / iced tea</t>
  </si>
  <si>
    <t xml:space="preserve">Mix total (must be 100%)</t>
  </si>
  <si>
    <t xml:space="preserve">BLENDED RESULT</t>
  </si>
  <si>
    <t xml:space="preserve">Weighted average price per item</t>
  </si>
  <si>
    <t xml:space="preserve">Weighted ingredient cost incl. waste</t>
  </si>
  <si>
    <t xml:space="preserve">Blended food cost % (menu)</t>
  </si>
  <si>
    <t xml:space="preserve">Food cost % assumed in model</t>
  </si>
  <si>
    <t xml:space="preserve">Implied ASP (avg price x items per guest)</t>
  </si>
  <si>
    <t xml:space="preserve">ASP assumed in model</t>
  </si>
  <si>
    <t xml:space="preserve">Check</t>
  </si>
  <si>
    <t xml:space="preserve">Min price at target = cost incl. waste divided by the target food cost %. Dishes marked 'Above target' need a price rise, a smaller portion, or a cheaper ingredient.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</si>
</sst>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;[RED]&quot;(₹&quot;#,##0\);\-"/>
    <numFmt numFmtId="166" formatCode="0"/>
    <numFmt numFmtId="167" formatCode="0.0"/>
    <numFmt numFmtId="168" formatCode="0.0%;[RED]\-0.0%;\-"/>
    <numFmt numFmtId="169" formatCode="0.00"/>
    <numFmt numFmtId="170" formatCode="\₹#,##0"/>
    <numFmt numFmtId="171" formatCode="0%"/>
    <numFmt numFmtId="172" formatCode="\₹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A1F12"/>
        <bgColor rgb="FF800000"/>
      </patternFill>
    </fill>
    <fill>
      <patternFill patternType="solid">
        <fgColor rgb="FF3A2A22"/>
        <bgColor rgb="FF333300"/>
      </patternFill>
    </fill>
    <fill>
      <patternFill patternType="solid">
        <fgColor rgb="FFFFF8CC"/>
        <bgColor rgb="FFF3E7D6"/>
      </patternFill>
    </fill>
    <fill>
      <patternFill patternType="solid">
        <fgColor rgb="FFF3E7D6"/>
        <bgColor rgb="FFFFF8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8"/>
      </left>
      <right style="thin">
        <color rgb="FFD9CBB8"/>
      </right>
      <top style="thin">
        <color rgb="FFD9CBB8"/>
      </top>
      <bottom style="thin">
        <color rgb="FFD9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8"/>
      <rgbColor rgb="FF808080"/>
      <rgbColor rgb="FF9999FF"/>
      <rgbColor rgb="FF993366"/>
      <rgbColor rgb="FFFFF8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1F12"/>
      <rgbColor rgb="FF993366"/>
      <rgbColor rgb="FF333399"/>
      <rgbColor rgb="FF3A2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4"/>
      <c r="C2" s="4"/>
      <c r="D2" s="4"/>
    </row>
    <row r="3" customFormat="false" ht="15" hidden="false" customHeight="false" outlineLevel="0" collapsed="false">
      <c r="A3" s="4"/>
      <c r="B3" s="4"/>
      <c r="C3" s="4"/>
      <c r="D3" s="4"/>
    </row>
    <row r="4" customFormat="false" ht="15" hidden="false" customHeight="false" outlineLevel="0" collapsed="false">
      <c r="A4" s="5" t="s">
        <v>2</v>
      </c>
      <c r="B4" s="6"/>
      <c r="C4" s="4"/>
      <c r="D4" s="4"/>
    </row>
    <row r="5" customFormat="false" ht="15" hidden="false" customHeight="false" outlineLevel="0" collapsed="false">
      <c r="A5" s="7" t="s">
        <v>3</v>
      </c>
      <c r="B5" s="8" t="s">
        <v>4</v>
      </c>
      <c r="C5" s="4"/>
      <c r="D5" s="4"/>
    </row>
    <row r="6" customFormat="false" ht="23.85" hidden="false" customHeight="false" outlineLevel="0" collapsed="false">
      <c r="A6" s="7" t="s">
        <v>5</v>
      </c>
      <c r="B6" s="8" t="s">
        <v>6</v>
      </c>
      <c r="C6" s="4"/>
      <c r="D6" s="4"/>
    </row>
    <row r="7" customFormat="false" ht="23.85" hidden="false" customHeight="false" outlineLevel="0" collapsed="false">
      <c r="A7" s="7" t="s">
        <v>7</v>
      </c>
      <c r="B7" s="8" t="s">
        <v>8</v>
      </c>
      <c r="C7" s="4"/>
      <c r="D7" s="4"/>
    </row>
    <row r="8" customFormat="false" ht="15" hidden="false" customHeight="false" outlineLevel="0" collapsed="false">
      <c r="A8" s="7"/>
      <c r="B8" s="4"/>
      <c r="C8" s="4"/>
      <c r="D8" s="4"/>
    </row>
    <row r="9" customFormat="false" ht="15" hidden="false" customHeight="false" outlineLevel="0" collapsed="false">
      <c r="A9" s="5" t="s">
        <v>9</v>
      </c>
      <c r="B9" s="6"/>
      <c r="C9" s="4"/>
      <c r="D9" s="4"/>
    </row>
    <row r="10" customFormat="false" ht="15" hidden="false" customHeight="false" outlineLevel="0" collapsed="false">
      <c r="A10" s="7" t="s">
        <v>10</v>
      </c>
      <c r="B10" s="8" t="s">
        <v>11</v>
      </c>
      <c r="C10" s="4"/>
      <c r="D10" s="4"/>
    </row>
    <row r="11" customFormat="false" ht="15" hidden="false" customHeight="false" outlineLevel="0" collapsed="false">
      <c r="A11" s="7" t="s">
        <v>12</v>
      </c>
      <c r="B11" s="8" t="s">
        <v>13</v>
      </c>
      <c r="C11" s="4"/>
      <c r="D11" s="4"/>
    </row>
    <row r="12" customFormat="false" ht="15" hidden="false" customHeight="false" outlineLevel="0" collapsed="false">
      <c r="A12" s="7" t="s">
        <v>14</v>
      </c>
      <c r="B12" s="8" t="s">
        <v>15</v>
      </c>
      <c r="C12" s="4"/>
      <c r="D12" s="4"/>
    </row>
    <row r="13" customFormat="false" ht="15" hidden="false" customHeight="false" outlineLevel="0" collapsed="false">
      <c r="A13" s="7" t="s">
        <v>16</v>
      </c>
      <c r="B13" s="8" t="s">
        <v>17</v>
      </c>
      <c r="C13" s="4"/>
      <c r="D13" s="4"/>
    </row>
    <row r="14" customFormat="false" ht="15" hidden="false" customHeight="false" outlineLevel="0" collapsed="false">
      <c r="A14" s="7" t="s">
        <v>18</v>
      </c>
      <c r="B14" s="8" t="s">
        <v>19</v>
      </c>
      <c r="C14" s="4"/>
      <c r="D14" s="4"/>
    </row>
    <row r="15" customFormat="false" ht="15" hidden="false" customHeight="false" outlineLevel="0" collapsed="false">
      <c r="A15" s="7"/>
      <c r="B15" s="4"/>
      <c r="C15" s="4"/>
      <c r="D15" s="4"/>
    </row>
    <row r="16" customFormat="false" ht="15" hidden="false" customHeight="false" outlineLevel="0" collapsed="false">
      <c r="A16" s="5" t="s">
        <v>20</v>
      </c>
      <c r="B16" s="6"/>
      <c r="C16" s="4"/>
      <c r="D16" s="4"/>
    </row>
    <row r="17" customFormat="false" ht="15" hidden="false" customHeight="false" outlineLevel="0" collapsed="false">
      <c r="A17" s="7" t="s">
        <v>21</v>
      </c>
      <c r="B17" s="8" t="s">
        <v>22</v>
      </c>
      <c r="C17" s="4"/>
      <c r="D17" s="4"/>
    </row>
    <row r="18" customFormat="false" ht="23.85" hidden="false" customHeight="false" outlineLevel="0" collapsed="false">
      <c r="A18" s="7" t="s">
        <v>23</v>
      </c>
      <c r="B18" s="8" t="s">
        <v>24</v>
      </c>
      <c r="C18" s="4"/>
      <c r="D18" s="4"/>
    </row>
    <row r="19" customFormat="false" ht="15" hidden="false" customHeight="false" outlineLevel="0" collapsed="false">
      <c r="A19" s="7" t="s">
        <v>25</v>
      </c>
      <c r="B19" s="8" t="s">
        <v>26</v>
      </c>
      <c r="C19" s="4"/>
      <c r="D19" s="4"/>
    </row>
    <row r="20" customFormat="false" ht="15" hidden="false" customHeight="false" outlineLevel="0" collapsed="false">
      <c r="A20" s="7" t="s">
        <v>27</v>
      </c>
      <c r="B20" s="8" t="s">
        <v>28</v>
      </c>
      <c r="C20" s="4"/>
      <c r="D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29</v>
      </c>
      <c r="B1" s="2"/>
      <c r="C1" s="2"/>
    </row>
    <row r="2" customFormat="false" ht="15" hidden="false" customHeight="false" outlineLevel="0" collapsed="false">
      <c r="A2" s="3" t="s">
        <v>30</v>
      </c>
      <c r="B2" s="4"/>
      <c r="C2" s="4"/>
    </row>
    <row r="3" customFormat="false" ht="15" hidden="false" customHeight="false" outlineLevel="0" collapsed="false">
      <c r="A3" s="4"/>
      <c r="B3" s="4"/>
      <c r="C3" s="4"/>
    </row>
    <row r="4" customFormat="false" ht="15" hidden="false" customHeight="false" outlineLevel="0" collapsed="false">
      <c r="A4" s="5" t="s">
        <v>31</v>
      </c>
      <c r="B4" s="6"/>
      <c r="C4" s="6"/>
    </row>
    <row r="5" customFormat="false" ht="15" hidden="false" customHeight="false" outlineLevel="0" collapsed="false">
      <c r="A5" s="9" t="s">
        <v>32</v>
      </c>
      <c r="B5" s="10" t="n">
        <v>550</v>
      </c>
      <c r="C5" s="3" t="s">
        <v>33</v>
      </c>
    </row>
    <row r="6" customFormat="false" ht="15" hidden="false" customHeight="false" outlineLevel="0" collapsed="false">
      <c r="A6" s="9" t="s">
        <v>34</v>
      </c>
      <c r="B6" s="11" t="n">
        <v>24</v>
      </c>
      <c r="C6" s="3" t="s">
        <v>35</v>
      </c>
    </row>
    <row r="7" customFormat="false" ht="15" hidden="false" customHeight="false" outlineLevel="0" collapsed="false">
      <c r="A7" s="9" t="s">
        <v>36</v>
      </c>
      <c r="B7" s="11" t="n">
        <v>30</v>
      </c>
      <c r="C7" s="3" t="s">
        <v>37</v>
      </c>
    </row>
    <row r="8" customFormat="false" ht="15" hidden="false" customHeight="false" outlineLevel="0" collapsed="false">
      <c r="A8" s="9" t="s">
        <v>38</v>
      </c>
      <c r="B8" s="11" t="n">
        <v>20</v>
      </c>
      <c r="C8" s="3" t="s">
        <v>39</v>
      </c>
    </row>
    <row r="9" customFormat="false" ht="15" hidden="false" customHeight="false" outlineLevel="0" collapsed="false">
      <c r="A9" s="9" t="s">
        <v>40</v>
      </c>
      <c r="B9" s="12" t="n">
        <v>2.3</v>
      </c>
      <c r="C9" s="3" t="s">
        <v>41</v>
      </c>
    </row>
    <row r="10" customFormat="false" ht="15" hidden="false" customHeight="false" outlineLevel="0" collapsed="false">
      <c r="A10" s="5" t="s">
        <v>42</v>
      </c>
      <c r="B10" s="6"/>
      <c r="C10" s="6"/>
    </row>
    <row r="11" customFormat="false" ht="15" hidden="false" customHeight="false" outlineLevel="0" collapsed="false">
      <c r="A11" s="9" t="s">
        <v>43</v>
      </c>
      <c r="B11" s="10" t="n">
        <v>40000</v>
      </c>
      <c r="C11" s="3" t="s">
        <v>44</v>
      </c>
    </row>
    <row r="12" customFormat="false" ht="15" hidden="false" customHeight="false" outlineLevel="0" collapsed="false">
      <c r="A12" s="9" t="s">
        <v>45</v>
      </c>
      <c r="B12" s="10" t="n">
        <v>25000</v>
      </c>
      <c r="C12" s="3" t="s">
        <v>46</v>
      </c>
    </row>
    <row r="13" customFormat="false" ht="15" hidden="false" customHeight="false" outlineLevel="0" collapsed="false">
      <c r="A13" s="9" t="s">
        <v>47</v>
      </c>
      <c r="B13" s="10" t="n">
        <v>13000</v>
      </c>
      <c r="C13" s="3" t="s">
        <v>48</v>
      </c>
    </row>
    <row r="14" customFormat="false" ht="15" hidden="false" customHeight="false" outlineLevel="0" collapsed="false">
      <c r="A14" s="9" t="s">
        <v>49</v>
      </c>
      <c r="B14" s="10" t="n">
        <v>12000</v>
      </c>
      <c r="C14" s="3" t="s">
        <v>50</v>
      </c>
    </row>
    <row r="15" customFormat="false" ht="15" hidden="false" customHeight="false" outlineLevel="0" collapsed="false">
      <c r="A15" s="9" t="s">
        <v>51</v>
      </c>
      <c r="B15" s="10" t="n">
        <v>13000</v>
      </c>
      <c r="C15" s="3" t="s">
        <v>52</v>
      </c>
    </row>
    <row r="16" customFormat="false" ht="15" hidden="false" customHeight="false" outlineLevel="0" collapsed="false">
      <c r="A16" s="9" t="s">
        <v>53</v>
      </c>
      <c r="B16" s="10" t="n">
        <v>8000</v>
      </c>
      <c r="C16" s="3" t="s">
        <v>48</v>
      </c>
    </row>
    <row r="17" customFormat="false" ht="15" hidden="false" customHeight="false" outlineLevel="0" collapsed="false">
      <c r="A17" s="9" t="s">
        <v>54</v>
      </c>
      <c r="B17" s="10" t="n">
        <v>0</v>
      </c>
      <c r="C17" s="3" t="s">
        <v>55</v>
      </c>
    </row>
    <row r="18" customFormat="false" ht="15" hidden="false" customHeight="false" outlineLevel="0" collapsed="false">
      <c r="A18" s="7" t="s">
        <v>56</v>
      </c>
      <c r="B18" s="13" t="n">
        <f aca="false">SUM(B11:B17)</f>
        <v>111000</v>
      </c>
      <c r="C18" s="4"/>
    </row>
    <row r="19" customFormat="false" ht="15" hidden="false" customHeight="false" outlineLevel="0" collapsed="false">
      <c r="A19" s="4"/>
      <c r="B19" s="4"/>
      <c r="C19" s="4"/>
    </row>
    <row r="20" customFormat="false" ht="15" hidden="false" customHeight="false" outlineLevel="0" collapsed="false">
      <c r="A20" s="5" t="s">
        <v>57</v>
      </c>
      <c r="B20" s="6"/>
      <c r="C20" s="6"/>
    </row>
    <row r="21" customFormat="false" ht="15" hidden="false" customHeight="false" outlineLevel="0" collapsed="false">
      <c r="A21" s="9" t="s">
        <v>14</v>
      </c>
      <c r="B21" s="14" t="n">
        <v>0.3</v>
      </c>
      <c r="C21" s="3" t="s">
        <v>58</v>
      </c>
    </row>
    <row r="22" customFormat="false" ht="15" hidden="false" customHeight="false" outlineLevel="0" collapsed="false">
      <c r="A22" s="9" t="s">
        <v>59</v>
      </c>
      <c r="B22" s="14" t="n">
        <v>0.08</v>
      </c>
      <c r="C22" s="3" t="s">
        <v>60</v>
      </c>
    </row>
    <row r="23" customFormat="false" ht="15" hidden="false" customHeight="false" outlineLevel="0" collapsed="false">
      <c r="A23" s="9" t="s">
        <v>61</v>
      </c>
      <c r="B23" s="14" t="n">
        <v>0.02</v>
      </c>
      <c r="C23" s="3" t="s">
        <v>48</v>
      </c>
    </row>
    <row r="24" customFormat="false" ht="15" hidden="false" customHeight="false" outlineLevel="0" collapsed="false">
      <c r="A24" s="7" t="s">
        <v>62</v>
      </c>
      <c r="B24" s="15" t="n">
        <f aca="false">B21+B23</f>
        <v>0.32</v>
      </c>
      <c r="C24" s="4"/>
    </row>
    <row r="25" customFormat="false" ht="15" hidden="false" customHeight="false" outlineLevel="0" collapsed="false">
      <c r="A25" s="7" t="s">
        <v>16</v>
      </c>
      <c r="B25" s="15" t="n">
        <f aca="false">1-B24</f>
        <v>0.68</v>
      </c>
      <c r="C25" s="4"/>
    </row>
    <row r="26" customFormat="false" ht="15" hidden="false" customHeight="false" outlineLevel="0" collapsed="false">
      <c r="A26" s="4"/>
      <c r="B26" s="4"/>
      <c r="C26" s="4"/>
    </row>
    <row r="27" customFormat="false" ht="15" hidden="false" customHeight="false" outlineLevel="0" collapsed="false">
      <c r="A27" s="5" t="s">
        <v>63</v>
      </c>
      <c r="B27" s="6"/>
      <c r="C27" s="6"/>
    </row>
    <row r="28" customFormat="false" ht="15" hidden="false" customHeight="false" outlineLevel="0" collapsed="false">
      <c r="A28" s="16" t="s">
        <v>64</v>
      </c>
      <c r="B28" s="17" t="s">
        <v>65</v>
      </c>
      <c r="C28" s="17" t="s">
        <v>66</v>
      </c>
    </row>
    <row r="29" customFormat="false" ht="15" hidden="false" customHeight="false" outlineLevel="0" collapsed="false">
      <c r="A29" s="9" t="s">
        <v>67</v>
      </c>
      <c r="B29" s="11" t="n">
        <v>25</v>
      </c>
      <c r="C29" s="3" t="s">
        <v>68</v>
      </c>
    </row>
    <row r="30" customFormat="false" ht="15" hidden="false" customHeight="false" outlineLevel="0" collapsed="false">
      <c r="A30" s="9" t="s">
        <v>69</v>
      </c>
      <c r="B30" s="11" t="n">
        <v>15</v>
      </c>
      <c r="C30" s="3" t="s">
        <v>70</v>
      </c>
    </row>
    <row r="31" customFormat="false" ht="15" hidden="false" customHeight="false" outlineLevel="0" collapsed="false">
      <c r="A31" s="9" t="s">
        <v>71</v>
      </c>
      <c r="B31" s="11" t="n">
        <v>8</v>
      </c>
      <c r="C31" s="3" t="s">
        <v>72</v>
      </c>
    </row>
    <row r="32" customFormat="false" ht="15" hidden="false" customHeight="false" outlineLevel="0" collapsed="false">
      <c r="A32" s="9" t="s">
        <v>73</v>
      </c>
      <c r="B32" s="14" t="n">
        <v>0.33</v>
      </c>
      <c r="C32" s="3" t="s">
        <v>74</v>
      </c>
    </row>
    <row r="33" customFormat="false" ht="15" hidden="false" customHeight="false" outlineLevel="0" collapsed="false">
      <c r="A33" s="4"/>
      <c r="B33" s="4"/>
      <c r="C33" s="4"/>
    </row>
    <row r="34" customFormat="false" ht="15" hidden="false" customHeight="false" outlineLevel="0" collapsed="false">
      <c r="A34" s="5" t="s">
        <v>75</v>
      </c>
      <c r="B34" s="6"/>
      <c r="C34" s="6"/>
    </row>
    <row r="35" customFormat="false" ht="15" hidden="false" customHeight="false" outlineLevel="0" collapsed="false">
      <c r="A35" s="9" t="s">
        <v>76</v>
      </c>
      <c r="B35" s="11" t="n">
        <v>3</v>
      </c>
      <c r="C35" s="3" t="s">
        <v>77</v>
      </c>
    </row>
    <row r="36" customFormat="false" ht="15" hidden="false" customHeight="false" outlineLevel="0" collapsed="false">
      <c r="A36" s="9" t="s">
        <v>78</v>
      </c>
      <c r="B36" s="18" t="n">
        <f aca="false">B35*B11</f>
        <v>120000</v>
      </c>
      <c r="C36" s="4"/>
    </row>
    <row r="37" customFormat="false" ht="15" hidden="false" customHeight="false" outlineLevel="0" collapsed="false">
      <c r="A37" s="9" t="s">
        <v>79</v>
      </c>
      <c r="B37" s="10" t="n">
        <v>300000</v>
      </c>
      <c r="C37" s="3" t="s">
        <v>80</v>
      </c>
    </row>
    <row r="38" customFormat="false" ht="15" hidden="false" customHeight="false" outlineLevel="0" collapsed="false">
      <c r="A38" s="9" t="s">
        <v>81</v>
      </c>
      <c r="B38" s="10" t="n">
        <v>220000</v>
      </c>
      <c r="C38" s="3" t="s">
        <v>82</v>
      </c>
    </row>
    <row r="39" customFormat="false" ht="15" hidden="false" customHeight="false" outlineLevel="0" collapsed="false">
      <c r="A39" s="9" t="s">
        <v>83</v>
      </c>
      <c r="B39" s="10" t="n">
        <v>40000</v>
      </c>
      <c r="C39" s="3" t="s">
        <v>48</v>
      </c>
    </row>
    <row r="40" customFormat="false" ht="15" hidden="false" customHeight="false" outlineLevel="0" collapsed="false">
      <c r="A40" s="9" t="s">
        <v>84</v>
      </c>
      <c r="B40" s="10" t="n">
        <v>60000</v>
      </c>
      <c r="C40" s="3" t="s">
        <v>48</v>
      </c>
    </row>
    <row r="41" customFormat="false" ht="15" hidden="false" customHeight="false" outlineLevel="0" collapsed="false">
      <c r="A41" s="9" t="s">
        <v>85</v>
      </c>
      <c r="B41" s="10" t="n">
        <v>80000</v>
      </c>
      <c r="C41" s="3" t="s">
        <v>48</v>
      </c>
    </row>
    <row r="42" customFormat="false" ht="15" hidden="false" customHeight="false" outlineLevel="0" collapsed="false">
      <c r="A42" s="9" t="s">
        <v>86</v>
      </c>
      <c r="B42" s="11" t="n">
        <v>3</v>
      </c>
      <c r="C42" s="3" t="s">
        <v>87</v>
      </c>
    </row>
    <row r="43" customFormat="false" ht="15" hidden="false" customHeight="false" outlineLevel="0" collapsed="false">
      <c r="A43" s="9" t="s">
        <v>88</v>
      </c>
      <c r="B43" s="10" t="n">
        <v>1050000</v>
      </c>
      <c r="C43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5"/>
  </cols>
  <sheetData>
    <row r="1" customFormat="false" ht="30" hidden="false" customHeight="true" outlineLevel="0" collapsed="false">
      <c r="A1" s="1" t="s">
        <v>90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91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92</v>
      </c>
      <c r="B3" s="6"/>
      <c r="C3" s="4"/>
      <c r="D3" s="4"/>
      <c r="E3" s="4"/>
      <c r="F3" s="4"/>
    </row>
    <row r="4" customFormat="false" ht="15" hidden="false" customHeight="false" outlineLevel="0" collapsed="false">
      <c r="A4" s="9" t="s">
        <v>93</v>
      </c>
      <c r="B4" s="19" t="n">
        <f aca="false">Inputs!B18</f>
        <v>111000</v>
      </c>
      <c r="C4" s="4"/>
      <c r="D4" s="4"/>
      <c r="E4" s="4"/>
      <c r="F4" s="4"/>
    </row>
    <row r="5" customFormat="false" ht="15" hidden="false" customHeight="false" outlineLevel="0" collapsed="false">
      <c r="A5" s="9" t="s">
        <v>16</v>
      </c>
      <c r="B5" s="20" t="n">
        <f aca="false">Inputs!B25</f>
        <v>0.68</v>
      </c>
      <c r="C5" s="4"/>
      <c r="D5" s="4"/>
      <c r="E5" s="4"/>
      <c r="F5" s="4"/>
    </row>
    <row r="6" customFormat="false" ht="15" hidden="false" customHeight="false" outlineLevel="0" collapsed="false">
      <c r="A6" s="7" t="s">
        <v>94</v>
      </c>
      <c r="B6" s="21" t="n">
        <f aca="false">IFERROR(B4/B5,0)</f>
        <v>163235.294117647</v>
      </c>
      <c r="C6" s="4"/>
      <c r="D6" s="4"/>
      <c r="E6" s="4"/>
      <c r="F6" s="4"/>
    </row>
    <row r="7" customFormat="false" ht="15" hidden="false" customHeight="false" outlineLevel="0" collapsed="false">
      <c r="A7" s="9" t="s">
        <v>95</v>
      </c>
      <c r="B7" s="18" t="n">
        <f aca="false">IFERROR(B6/Inputs!B7,0)</f>
        <v>5441.17647058824</v>
      </c>
      <c r="C7" s="4"/>
      <c r="D7" s="4"/>
      <c r="E7" s="4"/>
      <c r="F7" s="4"/>
    </row>
    <row r="8" customFormat="false" ht="15" hidden="false" customHeight="false" outlineLevel="0" collapsed="false">
      <c r="A8" s="7" t="s">
        <v>96</v>
      </c>
      <c r="B8" s="22" t="n">
        <f aca="false">IFERROR(B7/Inputs!B5,0)</f>
        <v>9.89304812834225</v>
      </c>
      <c r="C8" s="4"/>
      <c r="D8" s="4"/>
      <c r="E8" s="4"/>
      <c r="F8" s="4"/>
    </row>
    <row r="9" customFormat="false" ht="15" hidden="false" customHeight="false" outlineLevel="0" collapsed="false">
      <c r="A9" s="9" t="s">
        <v>97</v>
      </c>
      <c r="B9" s="23" t="n">
        <f aca="false">IFERROR(B8/Inputs!B6,0)</f>
        <v>0.412210338680927</v>
      </c>
      <c r="C9" s="4"/>
      <c r="D9" s="4"/>
      <c r="E9" s="4"/>
      <c r="F9" s="4"/>
    </row>
    <row r="10" customFormat="false" ht="15" hidden="false" customHeight="false" outlineLevel="0" collapsed="false">
      <c r="A10" s="9" t="s">
        <v>98</v>
      </c>
      <c r="B10" s="24" t="n">
        <f aca="false">IFERROR(Inputs!B11/B6,0)</f>
        <v>0.245045045045045</v>
      </c>
      <c r="C10" s="3" t="s">
        <v>99</v>
      </c>
      <c r="D10" s="4"/>
      <c r="E10" s="4"/>
      <c r="F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5" t="s">
        <v>100</v>
      </c>
      <c r="B12" s="6"/>
      <c r="C12" s="4"/>
      <c r="D12" s="4"/>
      <c r="E12" s="4"/>
      <c r="F12" s="4"/>
    </row>
    <row r="13" customFormat="false" ht="15" hidden="false" customHeight="false" outlineLevel="0" collapsed="false">
      <c r="A13" s="9" t="s">
        <v>65</v>
      </c>
      <c r="B13" s="25" t="n">
        <f aca="false">Inputs!B8</f>
        <v>20</v>
      </c>
      <c r="C13" s="4"/>
      <c r="D13" s="4"/>
      <c r="E13" s="4"/>
      <c r="F13" s="4"/>
    </row>
    <row r="14" customFormat="false" ht="15" hidden="false" customHeight="false" outlineLevel="0" collapsed="false">
      <c r="A14" s="9" t="s">
        <v>101</v>
      </c>
      <c r="B14" s="18" t="n">
        <f aca="false">B13*Inputs!B7*Inputs!B5</f>
        <v>330000</v>
      </c>
      <c r="C14" s="4"/>
      <c r="D14" s="4"/>
      <c r="E14" s="4"/>
      <c r="F14" s="4"/>
    </row>
    <row r="15" customFormat="false" ht="15" hidden="false" customHeight="false" outlineLevel="0" collapsed="false">
      <c r="A15" s="9" t="s">
        <v>102</v>
      </c>
      <c r="B15" s="18" t="n">
        <f aca="false">B14*Inputs!B21</f>
        <v>99000</v>
      </c>
      <c r="C15" s="4"/>
      <c r="D15" s="4"/>
      <c r="E15" s="4"/>
      <c r="F15" s="4"/>
    </row>
    <row r="16" customFormat="false" ht="15" hidden="false" customHeight="false" outlineLevel="0" collapsed="false">
      <c r="A16" s="9" t="s">
        <v>103</v>
      </c>
      <c r="B16" s="18" t="n">
        <f aca="false">B14*Inputs!B23</f>
        <v>6600</v>
      </c>
      <c r="C16" s="4"/>
      <c r="D16" s="4"/>
      <c r="E16" s="4"/>
      <c r="F16" s="4"/>
    </row>
    <row r="17" customFormat="false" ht="15" hidden="false" customHeight="false" outlineLevel="0" collapsed="false">
      <c r="A17" s="9" t="s">
        <v>104</v>
      </c>
      <c r="B17" s="18" t="n">
        <f aca="false">B4</f>
        <v>111000</v>
      </c>
      <c r="C17" s="4"/>
      <c r="D17" s="4"/>
      <c r="E17" s="4"/>
      <c r="F17" s="4"/>
    </row>
    <row r="18" customFormat="false" ht="15" hidden="false" customHeight="false" outlineLevel="0" collapsed="false">
      <c r="A18" s="7" t="s">
        <v>105</v>
      </c>
      <c r="B18" s="21" t="n">
        <f aca="false">B14-B15-B16-B17</f>
        <v>113400</v>
      </c>
      <c r="C18" s="4"/>
      <c r="D18" s="4"/>
      <c r="E18" s="4"/>
      <c r="F18" s="4"/>
    </row>
    <row r="19" customFormat="false" ht="15" hidden="false" customHeight="false" outlineLevel="0" collapsed="false">
      <c r="A19" s="9" t="s">
        <v>106</v>
      </c>
      <c r="B19" s="24" t="n">
        <f aca="false">IFERROR(B18/B14,0)</f>
        <v>0.343636363636364</v>
      </c>
      <c r="C19" s="4"/>
      <c r="D19" s="4"/>
      <c r="E19" s="4"/>
      <c r="F19" s="4"/>
    </row>
    <row r="20" customFormat="false" ht="15" hidden="false" customHeight="false" outlineLevel="0" collapsed="false">
      <c r="A20" s="9" t="s">
        <v>107</v>
      </c>
      <c r="B20" s="24" t="n">
        <f aca="false">IFERROR((B15+Inputs!B12+Inputs!B13+Inputs!B14)/B14,0)</f>
        <v>0.451515151515152</v>
      </c>
      <c r="C20" s="3" t="s">
        <v>108</v>
      </c>
      <c r="D20" s="4"/>
      <c r="E20" s="4"/>
      <c r="F20" s="4"/>
    </row>
    <row r="21" customFormat="false" ht="15" hidden="false" customHeight="false" outlineLevel="0" collapsed="false">
      <c r="A21" s="9" t="s">
        <v>109</v>
      </c>
      <c r="B21" s="24" t="n">
        <f aca="false">IFERROR(Inputs!B11/B14,0)</f>
        <v>0.121212121212121</v>
      </c>
      <c r="C21" s="4"/>
      <c r="D21" s="4"/>
      <c r="E21" s="4"/>
      <c r="F21" s="4"/>
    </row>
    <row r="22" customFormat="false" ht="15" hidden="false" customHeight="false" outlineLevel="0" collapsed="false">
      <c r="A22" s="7" t="s">
        <v>110</v>
      </c>
      <c r="B22" s="7" t="str">
        <f aca="false">IF(B18&gt;=0,"Above break-even","Below break-even")</f>
        <v>Above break-even</v>
      </c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5" t="s">
        <v>111</v>
      </c>
      <c r="B24" s="6"/>
      <c r="C24" s="6"/>
      <c r="D24" s="6"/>
      <c r="E24" s="6"/>
      <c r="F24" s="6"/>
    </row>
    <row r="25" customFormat="false" ht="15" hidden="false" customHeight="false" outlineLevel="0" collapsed="false">
      <c r="A25" s="7" t="s">
        <v>112</v>
      </c>
      <c r="B25" s="26" t="n">
        <v>450</v>
      </c>
      <c r="C25" s="26" t="n">
        <v>500</v>
      </c>
      <c r="D25" s="26" t="n">
        <v>550</v>
      </c>
      <c r="E25" s="26" t="n">
        <v>600</v>
      </c>
      <c r="F25" s="26" t="n">
        <v>650</v>
      </c>
    </row>
    <row r="26" customFormat="false" ht="15" hidden="false" customHeight="false" outlineLevel="0" collapsed="false">
      <c r="A26" s="11" t="n">
        <v>6</v>
      </c>
      <c r="B26" s="18" t="n">
        <f aca="false">$A26*Inputs!$B$7*B$25*Inputs!$B$25-Inputs!$B$18</f>
        <v>-55920</v>
      </c>
      <c r="C26" s="18" t="n">
        <f aca="false">$A26*Inputs!$B$7*C$25*Inputs!$B$25-Inputs!$B$18</f>
        <v>-49800</v>
      </c>
      <c r="D26" s="18" t="n">
        <f aca="false">$A26*Inputs!$B$7*D$25*Inputs!$B$25-Inputs!$B$18</f>
        <v>-43680</v>
      </c>
      <c r="E26" s="18" t="n">
        <f aca="false">$A26*Inputs!$B$7*E$25*Inputs!$B$25-Inputs!$B$18</f>
        <v>-37560</v>
      </c>
      <c r="F26" s="18" t="n">
        <f aca="false">$A26*Inputs!$B$7*F$25*Inputs!$B$25-Inputs!$B$18</f>
        <v>-31440</v>
      </c>
    </row>
    <row r="27" customFormat="false" ht="15" hidden="false" customHeight="false" outlineLevel="0" collapsed="false">
      <c r="A27" s="11" t="n">
        <v>8</v>
      </c>
      <c r="B27" s="18" t="n">
        <f aca="false">$A27*Inputs!$B$7*B$25*Inputs!$B$25-Inputs!$B$18</f>
        <v>-37560</v>
      </c>
      <c r="C27" s="18" t="n">
        <f aca="false">$A27*Inputs!$B$7*C$25*Inputs!$B$25-Inputs!$B$18</f>
        <v>-29400</v>
      </c>
      <c r="D27" s="18" t="n">
        <f aca="false">$A27*Inputs!$B$7*D$25*Inputs!$B$25-Inputs!$B$18</f>
        <v>-21240</v>
      </c>
      <c r="E27" s="18" t="n">
        <f aca="false">$A27*Inputs!$B$7*E$25*Inputs!$B$25-Inputs!$B$18</f>
        <v>-13080</v>
      </c>
      <c r="F27" s="18" t="n">
        <f aca="false">$A27*Inputs!$B$7*F$25*Inputs!$B$25-Inputs!$B$18</f>
        <v>-4920.00000000002</v>
      </c>
    </row>
    <row r="28" customFormat="false" ht="15" hidden="false" customHeight="false" outlineLevel="0" collapsed="false">
      <c r="A28" s="11" t="n">
        <v>10</v>
      </c>
      <c r="B28" s="18" t="n">
        <f aca="false">$A28*Inputs!$B$7*B$25*Inputs!$B$25-Inputs!$B$18</f>
        <v>-19200</v>
      </c>
      <c r="C28" s="18" t="n">
        <f aca="false">$A28*Inputs!$B$7*C$25*Inputs!$B$25-Inputs!$B$18</f>
        <v>-9000.00000000002</v>
      </c>
      <c r="D28" s="18" t="n">
        <f aca="false">$A28*Inputs!$B$7*D$25*Inputs!$B$25-Inputs!$B$18</f>
        <v>1199.99999999999</v>
      </c>
      <c r="E28" s="18" t="n">
        <f aca="false">$A28*Inputs!$B$7*E$25*Inputs!$B$25-Inputs!$B$18</f>
        <v>11400</v>
      </c>
      <c r="F28" s="18" t="n">
        <f aca="false">$A28*Inputs!$B$7*F$25*Inputs!$B$25-Inputs!$B$18</f>
        <v>21600</v>
      </c>
    </row>
    <row r="29" customFormat="false" ht="15" hidden="false" customHeight="false" outlineLevel="0" collapsed="false">
      <c r="A29" s="11" t="n">
        <v>12</v>
      </c>
      <c r="B29" s="18" t="n">
        <f aca="false">$A29*Inputs!$B$7*B$25*Inputs!$B$25-Inputs!$B$18</f>
        <v>-840.000000000015</v>
      </c>
      <c r="C29" s="18" t="n">
        <f aca="false">$A29*Inputs!$B$7*C$25*Inputs!$B$25-Inputs!$B$18</f>
        <v>11400</v>
      </c>
      <c r="D29" s="18" t="n">
        <f aca="false">$A29*Inputs!$B$7*D$25*Inputs!$B$25-Inputs!$B$18</f>
        <v>23640</v>
      </c>
      <c r="E29" s="18" t="n">
        <f aca="false">$A29*Inputs!$B$7*E$25*Inputs!$B$25-Inputs!$B$18</f>
        <v>35880</v>
      </c>
      <c r="F29" s="18" t="n">
        <f aca="false">$A29*Inputs!$B$7*F$25*Inputs!$B$25-Inputs!$B$18</f>
        <v>48120</v>
      </c>
    </row>
    <row r="30" customFormat="false" ht="15" hidden="false" customHeight="false" outlineLevel="0" collapsed="false">
      <c r="A30" s="11" t="n">
        <v>14</v>
      </c>
      <c r="B30" s="18" t="n">
        <f aca="false">$A30*Inputs!$B$7*B$25*Inputs!$B$25-Inputs!$B$18</f>
        <v>17520</v>
      </c>
      <c r="C30" s="18" t="n">
        <f aca="false">$A30*Inputs!$B$7*C$25*Inputs!$B$25-Inputs!$B$18</f>
        <v>31800</v>
      </c>
      <c r="D30" s="18" t="n">
        <f aca="false">$A30*Inputs!$B$7*D$25*Inputs!$B$25-Inputs!$B$18</f>
        <v>46080</v>
      </c>
      <c r="E30" s="18" t="n">
        <f aca="false">$A30*Inputs!$B$7*E$25*Inputs!$B$25-Inputs!$B$18</f>
        <v>60360</v>
      </c>
      <c r="F30" s="18" t="n">
        <f aca="false">$A30*Inputs!$B$7*F$25*Inputs!$B$25-Inputs!$B$18</f>
        <v>74640</v>
      </c>
    </row>
    <row r="31" customFormat="false" ht="15" hidden="false" customHeight="false" outlineLevel="0" collapsed="false">
      <c r="A31" s="11" t="n">
        <v>16</v>
      </c>
      <c r="B31" s="18" t="n">
        <f aca="false">$A31*Inputs!$B$7*B$25*Inputs!$B$25-Inputs!$B$18</f>
        <v>35880</v>
      </c>
      <c r="C31" s="18" t="n">
        <f aca="false">$A31*Inputs!$B$7*C$25*Inputs!$B$25-Inputs!$B$18</f>
        <v>52200</v>
      </c>
      <c r="D31" s="18" t="n">
        <f aca="false">$A31*Inputs!$B$7*D$25*Inputs!$B$25-Inputs!$B$18</f>
        <v>68520</v>
      </c>
      <c r="E31" s="18" t="n">
        <f aca="false">$A31*Inputs!$B$7*E$25*Inputs!$B$25-Inputs!$B$18</f>
        <v>84840</v>
      </c>
      <c r="F31" s="18" t="n">
        <f aca="false">$A31*Inputs!$B$7*F$25*Inputs!$B$25-Inputs!$B$18</f>
        <v>101160</v>
      </c>
    </row>
    <row r="32" customFormat="false" ht="15" hidden="false" customHeight="false" outlineLevel="0" collapsed="false">
      <c r="A32" s="11" t="n">
        <v>18</v>
      </c>
      <c r="B32" s="18" t="n">
        <f aca="false">$A32*Inputs!$B$7*B$25*Inputs!$B$25-Inputs!$B$18</f>
        <v>54240</v>
      </c>
      <c r="C32" s="18" t="n">
        <f aca="false">$A32*Inputs!$B$7*C$25*Inputs!$B$25-Inputs!$B$18</f>
        <v>72600</v>
      </c>
      <c r="D32" s="18" t="n">
        <f aca="false">$A32*Inputs!$B$7*D$25*Inputs!$B$25-Inputs!$B$18</f>
        <v>90960</v>
      </c>
      <c r="E32" s="18" t="n">
        <f aca="false">$A32*Inputs!$B$7*E$25*Inputs!$B$25-Inputs!$B$18</f>
        <v>109320</v>
      </c>
      <c r="F32" s="18" t="n">
        <f aca="false">$A32*Inputs!$B$7*F$25*Inputs!$B$25-Inputs!$B$18</f>
        <v>127680</v>
      </c>
    </row>
    <row r="33" customFormat="false" ht="15" hidden="false" customHeight="false" outlineLevel="0" collapsed="false">
      <c r="A33" s="11" t="n">
        <v>20</v>
      </c>
      <c r="B33" s="18" t="n">
        <f aca="false">$A33*Inputs!$B$7*B$25*Inputs!$B$25-Inputs!$B$18</f>
        <v>72600</v>
      </c>
      <c r="C33" s="18" t="n">
        <f aca="false">$A33*Inputs!$B$7*C$25*Inputs!$B$25-Inputs!$B$18</f>
        <v>93000</v>
      </c>
      <c r="D33" s="18" t="n">
        <f aca="false">$A33*Inputs!$B$7*D$25*Inputs!$B$25-Inputs!$B$18</f>
        <v>113400</v>
      </c>
      <c r="E33" s="18" t="n">
        <f aca="false">$A33*Inputs!$B$7*E$25*Inputs!$B$25-Inputs!$B$18</f>
        <v>133800</v>
      </c>
      <c r="F33" s="18" t="n">
        <f aca="false">$A33*Inputs!$B$7*F$25*Inputs!$B$25-Inputs!$B$18</f>
        <v>154200</v>
      </c>
    </row>
    <row r="34" customFormat="false" ht="15" hidden="false" customHeight="false" outlineLevel="0" collapsed="false">
      <c r="A34" s="11" t="n">
        <v>22</v>
      </c>
      <c r="B34" s="18" t="n">
        <f aca="false">$A34*Inputs!$B$7*B$25*Inputs!$B$25-Inputs!$B$18</f>
        <v>90960</v>
      </c>
      <c r="C34" s="18" t="n">
        <f aca="false">$A34*Inputs!$B$7*C$25*Inputs!$B$25-Inputs!$B$18</f>
        <v>113400</v>
      </c>
      <c r="D34" s="18" t="n">
        <f aca="false">$A34*Inputs!$B$7*D$25*Inputs!$B$25-Inputs!$B$18</f>
        <v>135840</v>
      </c>
      <c r="E34" s="18" t="n">
        <f aca="false">$A34*Inputs!$B$7*E$25*Inputs!$B$25-Inputs!$B$18</f>
        <v>158280</v>
      </c>
      <c r="F34" s="18" t="n">
        <f aca="false">$A34*Inputs!$B$7*F$25*Inputs!$B$25-Inputs!$B$18</f>
        <v>180720</v>
      </c>
    </row>
    <row r="35" customFormat="false" ht="15" hidden="false" customHeight="false" outlineLevel="0" collapsed="false">
      <c r="A35" s="11" t="n">
        <v>24</v>
      </c>
      <c r="B35" s="18" t="n">
        <f aca="false">$A35*Inputs!$B$7*B$25*Inputs!$B$25-Inputs!$B$18</f>
        <v>109320</v>
      </c>
      <c r="C35" s="18" t="n">
        <f aca="false">$A35*Inputs!$B$7*C$25*Inputs!$B$25-Inputs!$B$18</f>
        <v>133800</v>
      </c>
      <c r="D35" s="18" t="n">
        <f aca="false">$A35*Inputs!$B$7*D$25*Inputs!$B$25-Inputs!$B$18</f>
        <v>158280</v>
      </c>
      <c r="E35" s="18" t="n">
        <f aca="false">$A35*Inputs!$B$7*E$25*Inputs!$B$25-Inputs!$B$18</f>
        <v>182760</v>
      </c>
      <c r="F35" s="18" t="n">
        <f aca="false">$A35*Inputs!$B$7*F$25*Inputs!$B$25-Inputs!$B$18</f>
        <v>207240</v>
      </c>
    </row>
    <row r="36" customFormat="false" ht="15" hidden="false" customHeight="false" outlineLevel="0" collapsed="false">
      <c r="A36" s="11" t="n">
        <v>26</v>
      </c>
      <c r="B36" s="18" t="n">
        <f aca="false">$A36*Inputs!$B$7*B$25*Inputs!$B$25-Inputs!$B$18</f>
        <v>127680</v>
      </c>
      <c r="C36" s="18" t="n">
        <f aca="false">$A36*Inputs!$B$7*C$25*Inputs!$B$25-Inputs!$B$18</f>
        <v>154200</v>
      </c>
      <c r="D36" s="18" t="n">
        <f aca="false">$A36*Inputs!$B$7*D$25*Inputs!$B$25-Inputs!$B$18</f>
        <v>180720</v>
      </c>
      <c r="E36" s="18" t="n">
        <f aca="false">$A36*Inputs!$B$7*E$25*Inputs!$B$25-Inputs!$B$18</f>
        <v>207240</v>
      </c>
      <c r="F36" s="18" t="n">
        <f aca="false">$A36*Inputs!$B$7*F$25*Inputs!$B$25-Inputs!$B$18</f>
        <v>233760</v>
      </c>
    </row>
    <row r="37" customFormat="false" ht="15" hidden="false" customHeight="false" outlineLevel="0" collapsed="false">
      <c r="A37" s="11" t="n">
        <v>28</v>
      </c>
      <c r="B37" s="18" t="n">
        <f aca="false">$A37*Inputs!$B$7*B$25*Inputs!$B$25-Inputs!$B$18</f>
        <v>146040</v>
      </c>
      <c r="C37" s="18" t="n">
        <f aca="false">$A37*Inputs!$B$7*C$25*Inputs!$B$25-Inputs!$B$18</f>
        <v>174600</v>
      </c>
      <c r="D37" s="18" t="n">
        <f aca="false">$A37*Inputs!$B$7*D$25*Inputs!$B$25-Inputs!$B$18</f>
        <v>203160</v>
      </c>
      <c r="E37" s="18" t="n">
        <f aca="false">$A37*Inputs!$B$7*E$25*Inputs!$B$25-Inputs!$B$18</f>
        <v>231720</v>
      </c>
      <c r="F37" s="18" t="n">
        <f aca="false">$A37*Inputs!$B$7*F$25*Inputs!$B$25-Inputs!$B$18</f>
        <v>260280</v>
      </c>
    </row>
    <row r="38" customFormat="false" ht="15" hidden="false" customHeight="false" outlineLevel="0" collapsed="false">
      <c r="A38" s="11" t="n">
        <v>30</v>
      </c>
      <c r="B38" s="18" t="n">
        <f aca="false">$A38*Inputs!$B$7*B$25*Inputs!$B$25-Inputs!$B$18</f>
        <v>164400</v>
      </c>
      <c r="C38" s="18" t="n">
        <f aca="false">$A38*Inputs!$B$7*C$25*Inputs!$B$25-Inputs!$B$18</f>
        <v>195000</v>
      </c>
      <c r="D38" s="18" t="n">
        <f aca="false">$A38*Inputs!$B$7*D$25*Inputs!$B$25-Inputs!$B$18</f>
        <v>225600</v>
      </c>
      <c r="E38" s="18" t="n">
        <f aca="false">$A38*Inputs!$B$7*E$25*Inputs!$B$25-Inputs!$B$18</f>
        <v>256200</v>
      </c>
      <c r="F38" s="18" t="n">
        <f aca="false">$A38*Inputs!$B$7*F$25*Inputs!$B$25-Inputs!$B$18</f>
        <v>286800</v>
      </c>
    </row>
    <row r="39" customFormat="false" ht="15" hidden="false" customHeight="false" outlineLevel="0" collapsed="false">
      <c r="A39" s="3" t="s">
        <v>113</v>
      </c>
      <c r="B39" s="4"/>
      <c r="C39" s="4"/>
      <c r="D39" s="4"/>
      <c r="E39" s="4"/>
      <c r="F3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11" min="3" style="0" width="14"/>
  </cols>
  <sheetData>
    <row r="1" customFormat="false" ht="30" hidden="false" customHeight="true" outlineLevel="0" collapsed="false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115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30" hidden="false" customHeight="true" outlineLevel="0" collapsed="false">
      <c r="A4" s="16" t="s">
        <v>116</v>
      </c>
      <c r="B4" s="17" t="s">
        <v>64</v>
      </c>
      <c r="C4" s="17" t="s">
        <v>117</v>
      </c>
      <c r="D4" s="17" t="s">
        <v>118</v>
      </c>
      <c r="E4" s="17" t="s">
        <v>119</v>
      </c>
      <c r="F4" s="17" t="s">
        <v>102</v>
      </c>
      <c r="G4" s="17" t="s">
        <v>120</v>
      </c>
      <c r="H4" s="17" t="s">
        <v>104</v>
      </c>
      <c r="I4" s="17" t="s">
        <v>121</v>
      </c>
      <c r="J4" s="17" t="s">
        <v>109</v>
      </c>
      <c r="K4" s="17" t="s">
        <v>122</v>
      </c>
    </row>
    <row r="5" customFormat="false" ht="15" hidden="false" customHeight="false" outlineLevel="0" collapsed="false">
      <c r="A5" s="9" t="s">
        <v>123</v>
      </c>
      <c r="B5" s="27" t="s">
        <v>69</v>
      </c>
      <c r="C5" s="25" t="n">
        <f aca="false">INDEX(Inputs!$B$29:$B$31,MATCH(B5,Inputs!$A$29:$A$31,0))</f>
        <v>15</v>
      </c>
      <c r="D5" s="25" t="n">
        <f aca="false">Inputs!$B$7</f>
        <v>30</v>
      </c>
      <c r="E5" s="18" t="n">
        <f aca="false">C5*D5*Inputs!$B$5</f>
        <v>247500</v>
      </c>
      <c r="F5" s="18" t="n">
        <f aca="false">E5*Inputs!$B$21</f>
        <v>74250</v>
      </c>
      <c r="G5" s="18" t="n">
        <f aca="false">E5*Inputs!$B$23</f>
        <v>4950</v>
      </c>
      <c r="H5" s="19" t="n">
        <f aca="false">Inputs!$B$18</f>
        <v>111000</v>
      </c>
      <c r="I5" s="21" t="n">
        <f aca="false">E5-F5-G5-H5</f>
        <v>57300</v>
      </c>
      <c r="J5" s="24" t="n">
        <f aca="false">IFERROR(Inputs!$B$11/E5,0)</f>
        <v>0.161616161616162</v>
      </c>
      <c r="K5" s="24" t="n">
        <f aca="false">IFERROR((F5+Inputs!$B$12+Inputs!$B$13+Inputs!$B$14)/E5,0)</f>
        <v>0.502020202020202</v>
      </c>
    </row>
    <row r="6" customFormat="false" ht="15" hidden="false" customHeight="false" outlineLevel="0" collapsed="false">
      <c r="A6" s="9" t="s">
        <v>124</v>
      </c>
      <c r="B6" s="27" t="s">
        <v>69</v>
      </c>
      <c r="C6" s="25" t="n">
        <f aca="false">INDEX(Inputs!$B$29:$B$31,MATCH(B6,Inputs!$A$29:$A$31,0))</f>
        <v>15</v>
      </c>
      <c r="D6" s="25" t="n">
        <f aca="false">Inputs!$B$7</f>
        <v>30</v>
      </c>
      <c r="E6" s="18" t="n">
        <f aca="false">C6*D6*Inputs!$B$5</f>
        <v>247500</v>
      </c>
      <c r="F6" s="18" t="n">
        <f aca="false">E6*Inputs!$B$21</f>
        <v>74250</v>
      </c>
      <c r="G6" s="18" t="n">
        <f aca="false">E6*Inputs!$B$23</f>
        <v>4950</v>
      </c>
      <c r="H6" s="19" t="n">
        <f aca="false">Inputs!$B$18</f>
        <v>111000</v>
      </c>
      <c r="I6" s="21" t="n">
        <f aca="false">E6-F6-G6-H6</f>
        <v>57300</v>
      </c>
      <c r="J6" s="24" t="n">
        <f aca="false">IFERROR(Inputs!$B$11/E6,0)</f>
        <v>0.161616161616162</v>
      </c>
      <c r="K6" s="24" t="n">
        <f aca="false">IFERROR((F6+Inputs!$B$12+Inputs!$B$13+Inputs!$B$14)/E6,0)</f>
        <v>0.502020202020202</v>
      </c>
    </row>
    <row r="7" customFormat="false" ht="15" hidden="false" customHeight="false" outlineLevel="0" collapsed="false">
      <c r="A7" s="9" t="s">
        <v>125</v>
      </c>
      <c r="B7" s="27" t="s">
        <v>71</v>
      </c>
      <c r="C7" s="25" t="n">
        <f aca="false">INDEX(Inputs!$B$29:$B$31,MATCH(B7,Inputs!$A$29:$A$31,0))</f>
        <v>8</v>
      </c>
      <c r="D7" s="25" t="n">
        <f aca="false">Inputs!$B$7</f>
        <v>30</v>
      </c>
      <c r="E7" s="18" t="n">
        <f aca="false">C7*D7*Inputs!$B$5</f>
        <v>132000</v>
      </c>
      <c r="F7" s="18" t="n">
        <f aca="false">E7*Inputs!$B$21</f>
        <v>39600</v>
      </c>
      <c r="G7" s="18" t="n">
        <f aca="false">E7*Inputs!$B$23</f>
        <v>2640</v>
      </c>
      <c r="H7" s="19" t="n">
        <f aca="false">Inputs!$B$18</f>
        <v>111000</v>
      </c>
      <c r="I7" s="21" t="n">
        <f aca="false">E7-F7-G7-H7</f>
        <v>-21240</v>
      </c>
      <c r="J7" s="24" t="n">
        <f aca="false">IFERROR(Inputs!$B$11/E7,0)</f>
        <v>0.303030303030303</v>
      </c>
      <c r="K7" s="24" t="n">
        <f aca="false">IFERROR((F7+Inputs!$B$12+Inputs!$B$13+Inputs!$B$14)/E7,0)</f>
        <v>0.678787878787879</v>
      </c>
    </row>
    <row r="8" customFormat="false" ht="15" hidden="false" customHeight="false" outlineLevel="0" collapsed="false">
      <c r="A8" s="9" t="s">
        <v>126</v>
      </c>
      <c r="B8" s="27" t="s">
        <v>71</v>
      </c>
      <c r="C8" s="25" t="n">
        <f aca="false">INDEX(Inputs!$B$29:$B$31,MATCH(B8,Inputs!$A$29:$A$31,0))</f>
        <v>8</v>
      </c>
      <c r="D8" s="25" t="n">
        <f aca="false">Inputs!$B$7</f>
        <v>30</v>
      </c>
      <c r="E8" s="18" t="n">
        <f aca="false">C8*D8*Inputs!$B$5</f>
        <v>132000</v>
      </c>
      <c r="F8" s="18" t="n">
        <f aca="false">E8*Inputs!$B$21</f>
        <v>39600</v>
      </c>
      <c r="G8" s="18" t="n">
        <f aca="false">E8*Inputs!$B$23</f>
        <v>2640</v>
      </c>
      <c r="H8" s="19" t="n">
        <f aca="false">Inputs!$B$18</f>
        <v>111000</v>
      </c>
      <c r="I8" s="21" t="n">
        <f aca="false">E8-F8-G8-H8</f>
        <v>-21240</v>
      </c>
      <c r="J8" s="24" t="n">
        <f aca="false">IFERROR(Inputs!$B$11/E8,0)</f>
        <v>0.303030303030303</v>
      </c>
      <c r="K8" s="24" t="n">
        <f aca="false">IFERROR((F8+Inputs!$B$12+Inputs!$B$13+Inputs!$B$14)/E8,0)</f>
        <v>0.678787878787879</v>
      </c>
    </row>
    <row r="9" customFormat="false" ht="15" hidden="false" customHeight="false" outlineLevel="0" collapsed="false">
      <c r="A9" s="9" t="s">
        <v>127</v>
      </c>
      <c r="B9" s="27" t="s">
        <v>71</v>
      </c>
      <c r="C9" s="25" t="n">
        <f aca="false">INDEX(Inputs!$B$29:$B$31,MATCH(B9,Inputs!$A$29:$A$31,0))</f>
        <v>8</v>
      </c>
      <c r="D9" s="25" t="n">
        <f aca="false">Inputs!$B$7</f>
        <v>30</v>
      </c>
      <c r="E9" s="18" t="n">
        <f aca="false">C9*D9*Inputs!$B$5</f>
        <v>132000</v>
      </c>
      <c r="F9" s="18" t="n">
        <f aca="false">E9*Inputs!$B$21</f>
        <v>39600</v>
      </c>
      <c r="G9" s="18" t="n">
        <f aca="false">E9*Inputs!$B$23</f>
        <v>2640</v>
      </c>
      <c r="H9" s="19" t="n">
        <f aca="false">Inputs!$B$18</f>
        <v>111000</v>
      </c>
      <c r="I9" s="21" t="n">
        <f aca="false">E9-F9-G9-H9</f>
        <v>-21240</v>
      </c>
      <c r="J9" s="24" t="n">
        <f aca="false">IFERROR(Inputs!$B$11/E9,0)</f>
        <v>0.303030303030303</v>
      </c>
      <c r="K9" s="24" t="n">
        <f aca="false">IFERROR((F9+Inputs!$B$12+Inputs!$B$13+Inputs!$B$14)/E9,0)</f>
        <v>0.678787878787879</v>
      </c>
    </row>
    <row r="10" customFormat="false" ht="15" hidden="false" customHeight="false" outlineLevel="0" collapsed="false">
      <c r="A10" s="9" t="s">
        <v>128</v>
      </c>
      <c r="B10" s="27" t="s">
        <v>69</v>
      </c>
      <c r="C10" s="25" t="n">
        <f aca="false">INDEX(Inputs!$B$29:$B$31,MATCH(B10,Inputs!$A$29:$A$31,0))</f>
        <v>15</v>
      </c>
      <c r="D10" s="25" t="n">
        <f aca="false">Inputs!$B$7</f>
        <v>30</v>
      </c>
      <c r="E10" s="18" t="n">
        <f aca="false">C10*D10*Inputs!$B$5</f>
        <v>247500</v>
      </c>
      <c r="F10" s="18" t="n">
        <f aca="false">E10*Inputs!$B$21</f>
        <v>74250</v>
      </c>
      <c r="G10" s="18" t="n">
        <f aca="false">E10*Inputs!$B$23</f>
        <v>4950</v>
      </c>
      <c r="H10" s="19" t="n">
        <f aca="false">Inputs!$B$18</f>
        <v>111000</v>
      </c>
      <c r="I10" s="21" t="n">
        <f aca="false">E10-F10-G10-H10</f>
        <v>57300</v>
      </c>
      <c r="J10" s="24" t="n">
        <f aca="false">IFERROR(Inputs!$B$11/E10,0)</f>
        <v>0.161616161616162</v>
      </c>
      <c r="K10" s="24" t="n">
        <f aca="false">IFERROR((F10+Inputs!$B$12+Inputs!$B$13+Inputs!$B$14)/E10,0)</f>
        <v>0.502020202020202</v>
      </c>
    </row>
    <row r="11" customFormat="false" ht="15" hidden="false" customHeight="false" outlineLevel="0" collapsed="false">
      <c r="A11" s="9" t="s">
        <v>129</v>
      </c>
      <c r="B11" s="27" t="s">
        <v>69</v>
      </c>
      <c r="C11" s="25" t="n">
        <f aca="false">INDEX(Inputs!$B$29:$B$31,MATCH(B11,Inputs!$A$29:$A$31,0))</f>
        <v>15</v>
      </c>
      <c r="D11" s="25" t="n">
        <f aca="false">Inputs!$B$7</f>
        <v>30</v>
      </c>
      <c r="E11" s="18" t="n">
        <f aca="false">C11*D11*Inputs!$B$5</f>
        <v>247500</v>
      </c>
      <c r="F11" s="18" t="n">
        <f aca="false">E11*Inputs!$B$21</f>
        <v>74250</v>
      </c>
      <c r="G11" s="18" t="n">
        <f aca="false">E11*Inputs!$B$23</f>
        <v>4950</v>
      </c>
      <c r="H11" s="19" t="n">
        <f aca="false">Inputs!$B$18</f>
        <v>111000</v>
      </c>
      <c r="I11" s="21" t="n">
        <f aca="false">E11-F11-G11-H11</f>
        <v>57300</v>
      </c>
      <c r="J11" s="24" t="n">
        <f aca="false">IFERROR(Inputs!$B$11/E11,0)</f>
        <v>0.161616161616162</v>
      </c>
      <c r="K11" s="24" t="n">
        <f aca="false">IFERROR((F11+Inputs!$B$12+Inputs!$B$13+Inputs!$B$14)/E11,0)</f>
        <v>0.502020202020202</v>
      </c>
    </row>
    <row r="12" customFormat="false" ht="15" hidden="false" customHeight="false" outlineLevel="0" collapsed="false">
      <c r="A12" s="9" t="s">
        <v>130</v>
      </c>
      <c r="B12" s="27" t="s">
        <v>67</v>
      </c>
      <c r="C12" s="25" t="n">
        <f aca="false">INDEX(Inputs!$B$29:$B$31,MATCH(B12,Inputs!$A$29:$A$31,0))</f>
        <v>25</v>
      </c>
      <c r="D12" s="25" t="n">
        <f aca="false">Inputs!$B$7</f>
        <v>30</v>
      </c>
      <c r="E12" s="18" t="n">
        <f aca="false">C12*D12*Inputs!$B$5</f>
        <v>412500</v>
      </c>
      <c r="F12" s="18" t="n">
        <f aca="false">E12*Inputs!$B$21</f>
        <v>123750</v>
      </c>
      <c r="G12" s="18" t="n">
        <f aca="false">E12*Inputs!$B$23</f>
        <v>8250</v>
      </c>
      <c r="H12" s="19" t="n">
        <f aca="false">Inputs!$B$18</f>
        <v>111000</v>
      </c>
      <c r="I12" s="21" t="n">
        <f aca="false">E12-F12-G12-H12</f>
        <v>169500</v>
      </c>
      <c r="J12" s="24" t="n">
        <f aca="false">IFERROR(Inputs!$B$11/E12,0)</f>
        <v>0.096969696969697</v>
      </c>
      <c r="K12" s="24" t="n">
        <f aca="false">IFERROR((F12+Inputs!$B$12+Inputs!$B$13+Inputs!$B$14)/E12,0)</f>
        <v>0.421212121212121</v>
      </c>
    </row>
    <row r="13" customFormat="false" ht="15" hidden="false" customHeight="false" outlineLevel="0" collapsed="false">
      <c r="A13" s="9" t="s">
        <v>131</v>
      </c>
      <c r="B13" s="27" t="s">
        <v>67</v>
      </c>
      <c r="C13" s="25" t="n">
        <f aca="false">INDEX(Inputs!$B$29:$B$31,MATCH(B13,Inputs!$A$29:$A$31,0))</f>
        <v>25</v>
      </c>
      <c r="D13" s="25" t="n">
        <f aca="false">Inputs!$B$7</f>
        <v>30</v>
      </c>
      <c r="E13" s="18" t="n">
        <f aca="false">C13*D13*Inputs!$B$5</f>
        <v>412500</v>
      </c>
      <c r="F13" s="18" t="n">
        <f aca="false">E13*Inputs!$B$21</f>
        <v>123750</v>
      </c>
      <c r="G13" s="18" t="n">
        <f aca="false">E13*Inputs!$B$23</f>
        <v>8250</v>
      </c>
      <c r="H13" s="19" t="n">
        <f aca="false">Inputs!$B$18</f>
        <v>111000</v>
      </c>
      <c r="I13" s="21" t="n">
        <f aca="false">E13-F13-G13-H13</f>
        <v>169500</v>
      </c>
      <c r="J13" s="24" t="n">
        <f aca="false">IFERROR(Inputs!$B$11/E13,0)</f>
        <v>0.096969696969697</v>
      </c>
      <c r="K13" s="24" t="n">
        <f aca="false">IFERROR((F13+Inputs!$B$12+Inputs!$B$13+Inputs!$B$14)/E13,0)</f>
        <v>0.421212121212121</v>
      </c>
    </row>
    <row r="14" customFormat="false" ht="15" hidden="false" customHeight="false" outlineLevel="0" collapsed="false">
      <c r="A14" s="9" t="s">
        <v>132</v>
      </c>
      <c r="B14" s="27" t="s">
        <v>67</v>
      </c>
      <c r="C14" s="25" t="n">
        <f aca="false">INDEX(Inputs!$B$29:$B$31,MATCH(B14,Inputs!$A$29:$A$31,0))</f>
        <v>25</v>
      </c>
      <c r="D14" s="25" t="n">
        <f aca="false">Inputs!$B$7</f>
        <v>30</v>
      </c>
      <c r="E14" s="18" t="n">
        <f aca="false">C14*D14*Inputs!$B$5</f>
        <v>412500</v>
      </c>
      <c r="F14" s="18" t="n">
        <f aca="false">E14*Inputs!$B$21</f>
        <v>123750</v>
      </c>
      <c r="G14" s="18" t="n">
        <f aca="false">E14*Inputs!$B$23</f>
        <v>8250</v>
      </c>
      <c r="H14" s="19" t="n">
        <f aca="false">Inputs!$B$18</f>
        <v>111000</v>
      </c>
      <c r="I14" s="21" t="n">
        <f aca="false">E14-F14-G14-H14</f>
        <v>169500</v>
      </c>
      <c r="J14" s="24" t="n">
        <f aca="false">IFERROR(Inputs!$B$11/E14,0)</f>
        <v>0.096969696969697</v>
      </c>
      <c r="K14" s="24" t="n">
        <f aca="false">IFERROR((F14+Inputs!$B$12+Inputs!$B$13+Inputs!$B$14)/E14,0)</f>
        <v>0.421212121212121</v>
      </c>
    </row>
    <row r="15" customFormat="false" ht="15" hidden="false" customHeight="false" outlineLevel="0" collapsed="false">
      <c r="A15" s="9" t="s">
        <v>133</v>
      </c>
      <c r="B15" s="27" t="s">
        <v>67</v>
      </c>
      <c r="C15" s="25" t="n">
        <f aca="false">INDEX(Inputs!$B$29:$B$31,MATCH(B15,Inputs!$A$29:$A$31,0))</f>
        <v>25</v>
      </c>
      <c r="D15" s="25" t="n">
        <f aca="false">Inputs!$B$7</f>
        <v>30</v>
      </c>
      <c r="E15" s="18" t="n">
        <f aca="false">C15*D15*Inputs!$B$5</f>
        <v>412500</v>
      </c>
      <c r="F15" s="18" t="n">
        <f aca="false">E15*Inputs!$B$21</f>
        <v>123750</v>
      </c>
      <c r="G15" s="18" t="n">
        <f aca="false">E15*Inputs!$B$23</f>
        <v>8250</v>
      </c>
      <c r="H15" s="19" t="n">
        <f aca="false">Inputs!$B$18</f>
        <v>111000</v>
      </c>
      <c r="I15" s="21" t="n">
        <f aca="false">E15-F15-G15-H15</f>
        <v>169500</v>
      </c>
      <c r="J15" s="24" t="n">
        <f aca="false">IFERROR(Inputs!$B$11/E15,0)</f>
        <v>0.096969696969697</v>
      </c>
      <c r="K15" s="24" t="n">
        <f aca="false">IFERROR((F15+Inputs!$B$12+Inputs!$B$13+Inputs!$B$14)/E15,0)</f>
        <v>0.421212121212121</v>
      </c>
    </row>
    <row r="16" customFormat="false" ht="15" hidden="false" customHeight="false" outlineLevel="0" collapsed="false">
      <c r="A16" s="9" t="s">
        <v>134</v>
      </c>
      <c r="B16" s="27" t="s">
        <v>67</v>
      </c>
      <c r="C16" s="25" t="n">
        <f aca="false">INDEX(Inputs!$B$29:$B$31,MATCH(B16,Inputs!$A$29:$A$31,0))</f>
        <v>25</v>
      </c>
      <c r="D16" s="25" t="n">
        <f aca="false">Inputs!$B$7</f>
        <v>30</v>
      </c>
      <c r="E16" s="18" t="n">
        <f aca="false">C16*D16*Inputs!$B$5</f>
        <v>412500</v>
      </c>
      <c r="F16" s="18" t="n">
        <f aca="false">E16*Inputs!$B$21</f>
        <v>123750</v>
      </c>
      <c r="G16" s="18" t="n">
        <f aca="false">E16*Inputs!$B$23</f>
        <v>8250</v>
      </c>
      <c r="H16" s="19" t="n">
        <f aca="false">Inputs!$B$18</f>
        <v>111000</v>
      </c>
      <c r="I16" s="21" t="n">
        <f aca="false">E16-F16-G16-H16</f>
        <v>169500</v>
      </c>
      <c r="J16" s="24" t="n">
        <f aca="false">IFERROR(Inputs!$B$11/E16,0)</f>
        <v>0.096969696969697</v>
      </c>
      <c r="K16" s="24" t="n">
        <f aca="false">IFERROR((F16+Inputs!$B$12+Inputs!$B$13+Inputs!$B$14)/E16,0)</f>
        <v>0.421212121212121</v>
      </c>
    </row>
    <row r="17" customFormat="false" ht="15" hidden="false" customHeight="false" outlineLevel="0" collapsed="false">
      <c r="A17" s="28" t="s">
        <v>135</v>
      </c>
      <c r="B17" s="29"/>
      <c r="C17" s="29"/>
      <c r="D17" s="29"/>
      <c r="E17" s="13" t="n">
        <f aca="false">SUM(E5:E16)</f>
        <v>3448500</v>
      </c>
      <c r="F17" s="13" t="n">
        <f aca="false">SUM(F5:F16)</f>
        <v>1034550</v>
      </c>
      <c r="G17" s="13" t="n">
        <f aca="false">SUM(G5:G16)</f>
        <v>68970</v>
      </c>
      <c r="H17" s="13" t="n">
        <f aca="false">SUM(H5:H16)</f>
        <v>1332000</v>
      </c>
      <c r="I17" s="13" t="n">
        <f aca="false">SUM(I5:I16)</f>
        <v>1012980</v>
      </c>
      <c r="J17" s="29"/>
      <c r="K17" s="29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5" t="s">
        <v>136</v>
      </c>
      <c r="B19" s="6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9" t="s">
        <v>137</v>
      </c>
      <c r="B20" s="18" t="n">
        <f aca="false">E17</f>
        <v>3448500</v>
      </c>
      <c r="C20" s="4"/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A21" s="9" t="s">
        <v>138</v>
      </c>
      <c r="B21" s="18" t="n">
        <f aca="false">I17</f>
        <v>1012980</v>
      </c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7" t="s">
        <v>139</v>
      </c>
      <c r="B22" s="21" t="n">
        <f aca="false">I17*(1-Inputs!B32)</f>
        <v>678696.6</v>
      </c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false" outlineLevel="0" collapsed="false">
      <c r="A23" s="9" t="s">
        <v>140</v>
      </c>
      <c r="B23" s="18" t="n">
        <f aca="false">B22/12</f>
        <v>56558.05</v>
      </c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A24" s="9" t="s">
        <v>141</v>
      </c>
      <c r="B24" s="18" t="n">
        <f aca="false">SUMIF(I5:I16,"&lt;0")</f>
        <v>-63720</v>
      </c>
      <c r="C24" s="4"/>
      <c r="D24" s="4"/>
      <c r="E24" s="4"/>
      <c r="F24" s="4"/>
      <c r="G24" s="4"/>
      <c r="H24" s="4"/>
      <c r="I24" s="4"/>
      <c r="J24" s="4"/>
      <c r="K24" s="4"/>
    </row>
    <row r="25" customFormat="false" ht="15" hidden="false" customHeight="false" outlineLevel="0" collapsed="false">
      <c r="A25" s="9" t="s">
        <v>142</v>
      </c>
      <c r="B25" s="30" t="n">
        <f aca="false">COUNTIF(I5:I16,"&lt;0")</f>
        <v>3</v>
      </c>
      <c r="C25" s="4"/>
      <c r="D25" s="4"/>
      <c r="E25" s="4"/>
      <c r="F25" s="4"/>
      <c r="G25" s="4"/>
      <c r="H25" s="4"/>
      <c r="I25" s="4"/>
      <c r="J25" s="4"/>
      <c r="K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3" t="s">
        <v>143</v>
      </c>
      <c r="B27" s="4"/>
      <c r="C27" s="4"/>
      <c r="D27" s="4"/>
      <c r="E27" s="4"/>
      <c r="F27" s="4"/>
      <c r="G27" s="4"/>
      <c r="H27" s="4"/>
      <c r="I27" s="4"/>
      <c r="J27" s="4"/>
      <c r="K27" s="4"/>
    </row>
  </sheetData>
  <dataValidations count="1">
    <dataValidation allowBlank="false" errorStyle="stop" operator="between" showDropDown="false" showErrorMessage="false" showInputMessage="false" sqref="B5:B16" type="list">
      <formula1>Inputs!$A$29:$A$31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144</v>
      </c>
      <c r="B1" s="2"/>
      <c r="C1" s="2"/>
    </row>
    <row r="2" customFormat="false" ht="15" hidden="false" customHeight="false" outlineLevel="0" collapsed="false">
      <c r="A2" s="3" t="s">
        <v>145</v>
      </c>
      <c r="B2" s="4"/>
      <c r="C2" s="4"/>
    </row>
    <row r="3" customFormat="false" ht="15" hidden="false" customHeight="false" outlineLevel="0" collapsed="false">
      <c r="A3" s="5" t="s">
        <v>146</v>
      </c>
      <c r="B3" s="6"/>
      <c r="C3" s="4"/>
    </row>
    <row r="4" customFormat="false" ht="15" hidden="false" customHeight="false" outlineLevel="0" collapsed="false">
      <c r="A4" s="9" t="s">
        <v>147</v>
      </c>
      <c r="B4" s="19" t="n">
        <f aca="false">Inputs!B36</f>
        <v>120000</v>
      </c>
      <c r="C4" s="4"/>
    </row>
    <row r="5" customFormat="false" ht="15" hidden="false" customHeight="false" outlineLevel="0" collapsed="false">
      <c r="A5" s="9" t="s">
        <v>148</v>
      </c>
      <c r="B5" s="19" t="n">
        <f aca="false">Inputs!B37</f>
        <v>300000</v>
      </c>
      <c r="C5" s="4"/>
    </row>
    <row r="6" customFormat="false" ht="15" hidden="false" customHeight="false" outlineLevel="0" collapsed="false">
      <c r="A6" s="9" t="s">
        <v>149</v>
      </c>
      <c r="B6" s="19" t="n">
        <f aca="false">Inputs!B38</f>
        <v>220000</v>
      </c>
      <c r="C6" s="4"/>
    </row>
    <row r="7" customFormat="false" ht="15" hidden="false" customHeight="false" outlineLevel="0" collapsed="false">
      <c r="A7" s="9" t="s">
        <v>150</v>
      </c>
      <c r="B7" s="19" t="n">
        <f aca="false">Inputs!B39</f>
        <v>40000</v>
      </c>
      <c r="C7" s="4"/>
    </row>
    <row r="8" customFormat="false" ht="15" hidden="false" customHeight="false" outlineLevel="0" collapsed="false">
      <c r="A8" s="9" t="s">
        <v>151</v>
      </c>
      <c r="B8" s="19" t="n">
        <f aca="false">Inputs!B40</f>
        <v>60000</v>
      </c>
      <c r="C8" s="4"/>
    </row>
    <row r="9" customFormat="false" ht="15" hidden="false" customHeight="false" outlineLevel="0" collapsed="false">
      <c r="A9" s="9" t="s">
        <v>85</v>
      </c>
      <c r="B9" s="19" t="n">
        <f aca="false">Inputs!B41</f>
        <v>80000</v>
      </c>
      <c r="C9" s="4"/>
    </row>
    <row r="10" customFormat="false" ht="15" hidden="false" customHeight="false" outlineLevel="0" collapsed="false">
      <c r="A10" s="28" t="s">
        <v>152</v>
      </c>
      <c r="B10" s="13" t="n">
        <f aca="false">SUM(B4:B9)</f>
        <v>820000</v>
      </c>
      <c r="C10" s="4"/>
    </row>
    <row r="11" customFormat="false" ht="15" hidden="false" customHeight="false" outlineLevel="0" collapsed="false">
      <c r="A11" s="9" t="s">
        <v>153</v>
      </c>
      <c r="B11" s="18" t="n">
        <f aca="false">Inputs!B42*Inputs!B18</f>
        <v>333000</v>
      </c>
      <c r="C11" s="3" t="s">
        <v>154</v>
      </c>
    </row>
    <row r="12" customFormat="false" ht="15" hidden="false" customHeight="false" outlineLevel="0" collapsed="false">
      <c r="A12" s="28" t="s">
        <v>155</v>
      </c>
      <c r="B12" s="13" t="n">
        <f aca="false">B10+B11</f>
        <v>1153000</v>
      </c>
      <c r="C12" s="4"/>
    </row>
    <row r="13" customFormat="false" ht="15" hidden="false" customHeight="false" outlineLevel="0" collapsed="false">
      <c r="A13" s="9" t="s">
        <v>156</v>
      </c>
      <c r="B13" s="19" t="n">
        <f aca="false">Inputs!B43</f>
        <v>1050000</v>
      </c>
      <c r="C13" s="4"/>
    </row>
    <row r="14" customFormat="false" ht="15" hidden="false" customHeight="false" outlineLevel="0" collapsed="false">
      <c r="A14" s="28" t="s">
        <v>157</v>
      </c>
      <c r="B14" s="13" t="n">
        <f aca="false">B13-B12</f>
        <v>-103000</v>
      </c>
      <c r="C14" s="3" t="s">
        <v>158</v>
      </c>
    </row>
    <row r="15" customFormat="false" ht="15" hidden="false" customHeight="false" outlineLevel="0" collapsed="false">
      <c r="A15" s="4"/>
      <c r="B15" s="4"/>
      <c r="C15" s="4"/>
    </row>
    <row r="16" customFormat="false" ht="15" hidden="false" customHeight="false" outlineLevel="0" collapsed="false">
      <c r="A16" s="5" t="s">
        <v>159</v>
      </c>
      <c r="B16" s="6"/>
      <c r="C16" s="4"/>
    </row>
    <row r="17" customFormat="false" ht="15" hidden="false" customHeight="false" outlineLevel="0" collapsed="false">
      <c r="A17" s="9" t="s">
        <v>160</v>
      </c>
      <c r="B17" s="18" t="n">
        <f aca="false">B10</f>
        <v>820000</v>
      </c>
      <c r="C17" s="4"/>
    </row>
    <row r="18" customFormat="false" ht="15" hidden="false" customHeight="false" outlineLevel="0" collapsed="false">
      <c r="A18" s="9" t="s">
        <v>140</v>
      </c>
      <c r="B18" s="19" t="n">
        <f aca="false">Seasons!B23</f>
        <v>56558.05</v>
      </c>
      <c r="C18" s="4"/>
    </row>
    <row r="19" customFormat="false" ht="15" hidden="false" customHeight="false" outlineLevel="0" collapsed="false">
      <c r="A19" s="7" t="s">
        <v>161</v>
      </c>
      <c r="B19" s="22" t="n">
        <f aca="false">IF(B18&gt;0,B17/B18,"n/a")</f>
        <v>14.4983782149491</v>
      </c>
      <c r="C19" s="3" t="s">
        <v>162</v>
      </c>
    </row>
    <row r="20" customFormat="false" ht="15" hidden="false" customHeight="false" outlineLevel="0" collapsed="false">
      <c r="A20" s="9" t="s">
        <v>163</v>
      </c>
      <c r="B20" s="19" t="n">
        <f aca="false">INDEX(Seasons!I5:I16,MATCH("Shoulder",Seasons!B5:B16,0))</f>
        <v>57300</v>
      </c>
      <c r="C20" s="4"/>
    </row>
    <row r="21" customFormat="false" ht="15" hidden="false" customHeight="false" outlineLevel="0" collapsed="false">
      <c r="A21" s="7" t="s">
        <v>164</v>
      </c>
      <c r="B21" s="22" t="n">
        <f aca="false">IF(B20&gt;0,B17/B20,"n/a")</f>
        <v>14.3106457242583</v>
      </c>
      <c r="C21" s="4"/>
    </row>
    <row r="22" customFormat="false" ht="15" hidden="false" customHeight="false" outlineLevel="0" collapsed="false">
      <c r="A22" s="9" t="s">
        <v>165</v>
      </c>
      <c r="B22" s="19" t="n">
        <f aca="false">Seasons!B24</f>
        <v>-63720</v>
      </c>
      <c r="C22" s="4"/>
    </row>
    <row r="23" customFormat="false" ht="15" hidden="false" customHeight="false" outlineLevel="0" collapsed="false">
      <c r="A23" s="7" t="s">
        <v>166</v>
      </c>
      <c r="B23" s="7" t="str">
        <f aca="false">IF(B11&gt;=-B22,"Yes","No")</f>
        <v>Yes</v>
      </c>
      <c r="C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168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42" hidden="false" customHeight="true" outlineLevel="0" collapsed="false">
      <c r="A4" s="16" t="s">
        <v>169</v>
      </c>
      <c r="B4" s="17" t="s">
        <v>170</v>
      </c>
      <c r="C4" s="17" t="s">
        <v>171</v>
      </c>
      <c r="D4" s="17" t="s">
        <v>172</v>
      </c>
      <c r="E4" s="17" t="s">
        <v>173</v>
      </c>
      <c r="F4" s="17" t="s">
        <v>174</v>
      </c>
      <c r="G4" s="17" t="s">
        <v>175</v>
      </c>
      <c r="H4" s="17" t="s">
        <v>176</v>
      </c>
      <c r="I4" s="17" t="s">
        <v>177</v>
      </c>
      <c r="J4" s="17" t="s">
        <v>178</v>
      </c>
    </row>
    <row r="5" customFormat="false" ht="15" hidden="false" customHeight="false" outlineLevel="0" collapsed="false">
      <c r="A5" s="27" t="s">
        <v>179</v>
      </c>
      <c r="B5" s="10" t="n">
        <v>160</v>
      </c>
      <c r="C5" s="10" t="n">
        <v>38</v>
      </c>
      <c r="D5" s="31" t="n">
        <v>0.2</v>
      </c>
      <c r="E5" s="32" t="n">
        <f aca="false">C5*(1+Inputs!$B$22)</f>
        <v>41.04</v>
      </c>
      <c r="F5" s="24" t="n">
        <f aca="false">IFERROR(C5/B5,0)</f>
        <v>0.2375</v>
      </c>
      <c r="G5" s="33" t="n">
        <f aca="false">IFERROR(E5/B5,0)</f>
        <v>0.2565</v>
      </c>
      <c r="H5" s="18" t="n">
        <f aca="false">B5-E5</f>
        <v>118.96</v>
      </c>
      <c r="I5" s="18" t="n">
        <f aca="false">IFERROR(E5/Inputs!$B$21,0)</f>
        <v>136.8</v>
      </c>
      <c r="J5" s="9" t="str">
        <f aca="false">IF(G5&gt;Inputs!$B$21,"Above target","OK")</f>
        <v>OK</v>
      </c>
    </row>
    <row r="6" customFormat="false" ht="15" hidden="false" customHeight="false" outlineLevel="0" collapsed="false">
      <c r="A6" s="27" t="s">
        <v>180</v>
      </c>
      <c r="B6" s="10" t="n">
        <v>250</v>
      </c>
      <c r="C6" s="10" t="n">
        <v>68</v>
      </c>
      <c r="D6" s="31" t="n">
        <v>0.1</v>
      </c>
      <c r="E6" s="32" t="n">
        <f aca="false">C6*(1+Inputs!$B$22)</f>
        <v>73.44</v>
      </c>
      <c r="F6" s="24" t="n">
        <f aca="false">IFERROR(C6/B6,0)</f>
        <v>0.272</v>
      </c>
      <c r="G6" s="33" t="n">
        <f aca="false">IFERROR(E6/B6,0)</f>
        <v>0.29376</v>
      </c>
      <c r="H6" s="18" t="n">
        <f aca="false">B6-E6</f>
        <v>176.56</v>
      </c>
      <c r="I6" s="18" t="n">
        <f aca="false">IFERROR(E6/Inputs!$B$21,0)</f>
        <v>244.8</v>
      </c>
      <c r="J6" s="9" t="str">
        <f aca="false">IF(G6&gt;Inputs!$B$21,"Above target","OK")</f>
        <v>OK</v>
      </c>
    </row>
    <row r="7" customFormat="false" ht="15" hidden="false" customHeight="false" outlineLevel="0" collapsed="false">
      <c r="A7" s="27" t="s">
        <v>181</v>
      </c>
      <c r="B7" s="10" t="n">
        <v>230</v>
      </c>
      <c r="C7" s="10" t="n">
        <v>52</v>
      </c>
      <c r="D7" s="31" t="n">
        <v>0.08</v>
      </c>
      <c r="E7" s="32" t="n">
        <f aca="false">C7*(1+Inputs!$B$22)</f>
        <v>56.16</v>
      </c>
      <c r="F7" s="24" t="n">
        <f aca="false">IFERROR(C7/B7,0)</f>
        <v>0.226086956521739</v>
      </c>
      <c r="G7" s="33" t="n">
        <f aca="false">IFERROR(E7/B7,0)</f>
        <v>0.244173913043478</v>
      </c>
      <c r="H7" s="18" t="n">
        <f aca="false">B7-E7</f>
        <v>173.84</v>
      </c>
      <c r="I7" s="18" t="n">
        <f aca="false">IFERROR(E7/Inputs!$B$21,0)</f>
        <v>187.2</v>
      </c>
      <c r="J7" s="9" t="str">
        <f aca="false">IF(G7&gt;Inputs!$B$21,"Above target","OK")</f>
        <v>OK</v>
      </c>
    </row>
    <row r="8" customFormat="false" ht="15" hidden="false" customHeight="false" outlineLevel="0" collapsed="false">
      <c r="A8" s="27" t="s">
        <v>182</v>
      </c>
      <c r="B8" s="10" t="n">
        <v>265</v>
      </c>
      <c r="C8" s="10" t="n">
        <v>72</v>
      </c>
      <c r="D8" s="31" t="n">
        <v>0.12</v>
      </c>
      <c r="E8" s="32" t="n">
        <f aca="false">C8*(1+Inputs!$B$22)</f>
        <v>77.76</v>
      </c>
      <c r="F8" s="24" t="n">
        <f aca="false">IFERROR(C8/B8,0)</f>
        <v>0.271698113207547</v>
      </c>
      <c r="G8" s="33" t="n">
        <f aca="false">IFERROR(E8/B8,0)</f>
        <v>0.293433962264151</v>
      </c>
      <c r="H8" s="18" t="n">
        <f aca="false">B8-E8</f>
        <v>187.24</v>
      </c>
      <c r="I8" s="18" t="n">
        <f aca="false">IFERROR(E8/Inputs!$B$21,0)</f>
        <v>259.2</v>
      </c>
      <c r="J8" s="9" t="str">
        <f aca="false">IF(G8&gt;Inputs!$B$21,"Above target","OK")</f>
        <v>OK</v>
      </c>
    </row>
    <row r="9" customFormat="false" ht="15" hidden="false" customHeight="false" outlineLevel="0" collapsed="false">
      <c r="A9" s="27" t="s">
        <v>183</v>
      </c>
      <c r="B9" s="10" t="n">
        <v>330</v>
      </c>
      <c r="C9" s="10" t="n">
        <v>92</v>
      </c>
      <c r="D9" s="31" t="n">
        <v>0.14</v>
      </c>
      <c r="E9" s="32" t="n">
        <f aca="false">C9*(1+Inputs!$B$22)</f>
        <v>99.36</v>
      </c>
      <c r="F9" s="24" t="n">
        <f aca="false">IFERROR(C9/B9,0)</f>
        <v>0.278787878787879</v>
      </c>
      <c r="G9" s="33" t="n">
        <f aca="false">IFERROR(E9/B9,0)</f>
        <v>0.301090909090909</v>
      </c>
      <c r="H9" s="18" t="n">
        <f aca="false">B9-E9</f>
        <v>230.64</v>
      </c>
      <c r="I9" s="18" t="n">
        <f aca="false">IFERROR(E9/Inputs!$B$21,0)</f>
        <v>331.2</v>
      </c>
      <c r="J9" s="9" t="str">
        <f aca="false">IF(G9&gt;Inputs!$B$21,"Above target","OK")</f>
        <v>Above target</v>
      </c>
    </row>
    <row r="10" customFormat="false" ht="15" hidden="false" customHeight="false" outlineLevel="0" collapsed="false">
      <c r="A10" s="27" t="s">
        <v>184</v>
      </c>
      <c r="B10" s="10" t="n">
        <v>320</v>
      </c>
      <c r="C10" s="10" t="n">
        <v>82</v>
      </c>
      <c r="D10" s="31" t="n">
        <v>0.1</v>
      </c>
      <c r="E10" s="32" t="n">
        <f aca="false">C10*(1+Inputs!$B$22)</f>
        <v>88.56</v>
      </c>
      <c r="F10" s="24" t="n">
        <f aca="false">IFERROR(C10/B10,0)</f>
        <v>0.25625</v>
      </c>
      <c r="G10" s="33" t="n">
        <f aca="false">IFERROR(E10/B10,0)</f>
        <v>0.27675</v>
      </c>
      <c r="H10" s="18" t="n">
        <f aca="false">B10-E10</f>
        <v>231.44</v>
      </c>
      <c r="I10" s="18" t="n">
        <f aca="false">IFERROR(E10/Inputs!$B$21,0)</f>
        <v>295.2</v>
      </c>
      <c r="J10" s="9" t="str">
        <f aca="false">IF(G10&gt;Inputs!$B$21,"Above target","OK")</f>
        <v>OK</v>
      </c>
    </row>
    <row r="11" customFormat="false" ht="15" hidden="false" customHeight="false" outlineLevel="0" collapsed="false">
      <c r="A11" s="27" t="s">
        <v>185</v>
      </c>
      <c r="B11" s="10" t="n">
        <v>370</v>
      </c>
      <c r="C11" s="10" t="n">
        <v>120</v>
      </c>
      <c r="D11" s="31" t="n">
        <v>0.1</v>
      </c>
      <c r="E11" s="32" t="n">
        <f aca="false">C11*(1+Inputs!$B$22)</f>
        <v>129.6</v>
      </c>
      <c r="F11" s="24" t="n">
        <f aca="false">IFERROR(C11/B11,0)</f>
        <v>0.324324324324324</v>
      </c>
      <c r="G11" s="33" t="n">
        <f aca="false">IFERROR(E11/B11,0)</f>
        <v>0.35027027027027</v>
      </c>
      <c r="H11" s="18" t="n">
        <f aca="false">B11-E11</f>
        <v>240.4</v>
      </c>
      <c r="I11" s="18" t="n">
        <f aca="false">IFERROR(E11/Inputs!$B$21,0)</f>
        <v>432</v>
      </c>
      <c r="J11" s="9" t="str">
        <f aca="false">IF(G11&gt;Inputs!$B$21,"Above target","OK")</f>
        <v>Above target</v>
      </c>
    </row>
    <row r="12" customFormat="false" ht="15" hidden="false" customHeight="false" outlineLevel="0" collapsed="false">
      <c r="A12" s="27" t="s">
        <v>186</v>
      </c>
      <c r="B12" s="10" t="n">
        <v>100</v>
      </c>
      <c r="C12" s="10" t="n">
        <v>16</v>
      </c>
      <c r="D12" s="31" t="n">
        <v>0.16</v>
      </c>
      <c r="E12" s="32" t="n">
        <f aca="false">C12*(1+Inputs!$B$22)</f>
        <v>17.28</v>
      </c>
      <c r="F12" s="24" t="n">
        <f aca="false">IFERROR(C12/B12,0)</f>
        <v>0.16</v>
      </c>
      <c r="G12" s="33" t="n">
        <f aca="false">IFERROR(E12/B12,0)</f>
        <v>0.1728</v>
      </c>
      <c r="H12" s="18" t="n">
        <f aca="false">B12-E12</f>
        <v>82.72</v>
      </c>
      <c r="I12" s="18" t="n">
        <f aca="false">IFERROR(E12/Inputs!$B$21,0)</f>
        <v>57.6</v>
      </c>
      <c r="J12" s="9" t="str">
        <f aca="false">IF(G12&gt;Inputs!$B$21,"Above target","OK")</f>
        <v>OK</v>
      </c>
    </row>
    <row r="13" customFormat="false" ht="15" hidden="false" customHeight="false" outlineLevel="0" collapsed="false">
      <c r="A13" s="28" t="s">
        <v>187</v>
      </c>
      <c r="B13" s="29"/>
      <c r="C13" s="29"/>
      <c r="D13" s="34" t="n">
        <f aca="false">SUM(D5:D12)</f>
        <v>1</v>
      </c>
      <c r="E13" s="29"/>
      <c r="F13" s="29"/>
      <c r="G13" s="29"/>
      <c r="H13" s="29"/>
      <c r="I13" s="29"/>
      <c r="J13" s="29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5" t="s">
        <v>188</v>
      </c>
      <c r="B15" s="6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9" t="s">
        <v>189</v>
      </c>
      <c r="B16" s="18" t="n">
        <f aca="false">SUMPRODUCT(B5:B12,D5:D12)/D13</f>
        <v>238.4</v>
      </c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9" t="s">
        <v>190</v>
      </c>
      <c r="B17" s="32" t="n">
        <f aca="false">SUMPRODUCT(E5:E12,D5:D12)/D13</f>
        <v>67.8672</v>
      </c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7" t="s">
        <v>191</v>
      </c>
      <c r="B18" s="33" t="n">
        <f aca="false">IFERROR(B17/B16,0)</f>
        <v>0.284677852348993</v>
      </c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9" t="s">
        <v>192</v>
      </c>
      <c r="B19" s="24" t="n">
        <f aca="false">Inputs!B21</f>
        <v>0.3</v>
      </c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9" t="s">
        <v>193</v>
      </c>
      <c r="B20" s="18" t="n">
        <f aca="false">B16*Inputs!B9</f>
        <v>548.32</v>
      </c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9" t="s">
        <v>194</v>
      </c>
      <c r="B21" s="18" t="n">
        <f aca="false">Inputs!B5</f>
        <v>550</v>
      </c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7" t="s">
        <v>195</v>
      </c>
      <c r="B22" s="7" t="str">
        <f aca="false">IF(ABS(D13-1)&gt;0.001,"Mix % must total 100%",IF(B18&gt;B19+0.02,"Menu runs hotter than the model: raise prices or raise the food cost input","Menu and model roughly agree"))</f>
        <v>Menu and model roughly agree</v>
      </c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3" t="s">
        <v>196</v>
      </c>
      <c r="B24" s="4"/>
      <c r="C24" s="4"/>
      <c r="D24" s="4"/>
      <c r="E24" s="4"/>
      <c r="F24" s="4"/>
      <c r="G24" s="4"/>
      <c r="H24" s="4"/>
      <c r="I24" s="4"/>
      <c r="J2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2026-10-05T13:25:25Z</dcterms:created>
  <dc:creator>openpyxl</dc:creator>
  <dc:description/>
  <dc:language>en-AE</dc:language>
  <cp:lastModifiedBy/>
  <dcterms:modified xsi:type="dcterms:W3CDTF">2026-10-05T13:25:25Z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