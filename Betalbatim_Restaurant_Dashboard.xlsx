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Monthly P&amp;L Plan" sheetId="3" state="visible" r:id="rId3"/>
    <sheet name="Daily Sales Log" sheetId="4" state="visible" r:id="rId4"/>
    <sheet name="Menu Performance" sheetId="5" state="visible" r:id="rId5"/>
    <sheet name="Campaign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#,##0"/>
    <numFmt numFmtId="165" formatCode="0.0%"/>
    <numFmt numFmtId="166" formatCode="0.0"/>
    <numFmt numFmtId="167" formatCode="&quot;₹&quot;#,##0.0"/>
    <numFmt numFmtId="168" formatCode="0.00&quot;x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B6B6B"/>
      <sz val="9"/>
    </font>
    <font>
      <name val="Calibri"/>
      <b val="1"/>
      <color rgb="00FFFFFF"/>
      <sz val="12"/>
    </font>
    <font>
      <name val="Calibri"/>
      <b val="1"/>
      <color rgb="001F3B57"/>
      <sz val="11"/>
    </font>
    <font>
      <b val="1"/>
    </font>
    <font>
      <b val="1"/>
      <color rgb="001F3B57"/>
    </font>
    <font>
      <name val="Calibri"/>
      <b val="1"/>
      <color rgb="00FFFFFF"/>
      <sz val="11"/>
    </font>
    <font>
      <b val="1"/>
      <color rgb="009C6B00"/>
    </font>
    <font>
      <name val="Calibri"/>
      <b val="1"/>
      <color rgb="006B6B6B"/>
      <sz val="10"/>
    </font>
    <font>
      <name val="Calibri"/>
      <b val="1"/>
      <color rgb="001F3B57"/>
      <sz val="20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2E7D6B"/>
      </patternFill>
    </fill>
    <fill>
      <patternFill patternType="solid">
        <fgColor rgb="00FFF6DF"/>
      </patternFill>
    </fill>
    <fill>
      <patternFill patternType="solid">
        <fgColor rgb="00EDEDE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center"/>
    </xf>
    <xf numFmtId="0" fontId="0" fillId="0" borderId="1" pivotButton="0" quotePrefix="0" xfId="0"/>
    <xf numFmtId="164" fontId="10" fillId="6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166" fontId="10" fillId="6" borderId="1" applyAlignment="1" pivotButton="0" quotePrefix="0" xfId="0">
      <alignment horizontal="center" vertical="center"/>
    </xf>
    <xf numFmtId="3" fontId="10" fillId="6" borderId="1" applyAlignment="1" pivotButton="0" quotePrefix="0" xfId="0">
      <alignment horizontal="center" vertical="center"/>
    </xf>
    <xf numFmtId="167" fontId="10" fillId="6" borderId="1" applyAlignment="1" pivotButton="0" quotePrefix="0" xfId="0">
      <alignment horizontal="center" vertical="center"/>
    </xf>
    <xf numFmtId="1" fontId="10" fillId="6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4" fontId="5" fillId="0" borderId="1" pivotButton="0" quotePrefix="0" xfId="0"/>
    <xf numFmtId="164" fontId="6" fillId="0" borderId="1" pivotButton="0" quotePrefix="0" xfId="0"/>
    <xf numFmtId="166" fontId="6" fillId="0" borderId="1" pivotButton="0" quotePrefix="0" xfId="0"/>
    <xf numFmtId="0" fontId="7" fillId="2" borderId="0" pivotButton="0" quotePrefix="0" xfId="0"/>
    <xf numFmtId="0" fontId="7" fillId="2" borderId="1" applyAlignment="1" pivotButton="0" quotePrefix="0" xfId="0">
      <alignment horizontal="center"/>
    </xf>
    <xf numFmtId="0" fontId="4" fillId="5" borderId="0" pivotButton="0" quotePrefix="0" xfId="0"/>
    <xf numFmtId="0" fontId="0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164" fontId="0" fillId="4" borderId="1" pivotButton="0" quotePrefix="0" xfId="0"/>
    <xf numFmtId="166" fontId="0" fillId="0" borderId="1" pivotButton="0" quotePrefix="0" xfId="0"/>
    <xf numFmtId="0" fontId="7" fillId="2" borderId="0" applyAlignment="1" pivotButton="0" quotePrefix="0" xfId="0">
      <alignment horizontal="center" wrapText="1"/>
    </xf>
    <xf numFmtId="167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4">
    <dxf>
      <font>
        <b val="1"/>
        <color rgb="00B3413A"/>
        <sz val="20"/>
      </font>
    </dxf>
    <dxf>
      <fill>
        <patternFill patternType="solid">
          <fgColor rgb="00FBE2E1"/>
        </patternFill>
      </fill>
    </dxf>
    <dxf>
      <font>
        <b val="1"/>
        <color rgb="00B3413A"/>
      </font>
      <fill>
        <patternFill patternType="solid">
          <fgColor rgb="00FBE2E1"/>
        </patternFill>
      </fill>
    </dxf>
    <dxf>
      <font>
        <b val="1"/>
        <color rgb="00FFFFFF"/>
      </font>
      <fill>
        <patternFill patternType="solid">
          <fgColor rgb="00B3413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Revenue vs Costs vs Operating Profit (Plan)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P&amp;L Plan'!A9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P&amp;L Plan'!$B$4:$M$4</f>
            </numRef>
          </cat>
          <val>
            <numRef>
              <f>'Monthly P&amp;L Plan'!$B$9:$M$9</f>
            </numRef>
          </val>
        </ser>
        <ser>
          <idx val="1"/>
          <order val="1"/>
          <tx>
            <strRef>
              <f>'Monthly P&amp;L Plan'!A16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P&amp;L Plan'!$B$4:$M$4</f>
            </numRef>
          </cat>
          <val>
            <numRef>
              <f>'Monthly P&amp;L Plan'!$B$16:$M$16</f>
            </numRef>
          </val>
        </ser>
        <ser>
          <idx val="2"/>
          <order val="2"/>
          <tx>
            <strRef>
              <f>'Monthly P&amp;L Plan'!A17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P&amp;L Plan'!$B$4:$M$4</f>
            </numRef>
          </cat>
          <val>
            <numRef>
              <f>'Monthly P&amp;L Plan'!$B$17:$M$17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Covers/day — Plan vs Break-even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P&amp;L Plan'!A7</f>
            </strRef>
          </tx>
          <spPr>
            <a:ln>
              <a:prstDash val="solid"/>
            </a:ln>
          </spPr>
          <cat>
            <numRef>
              <f>'Monthly P&amp;L Plan'!$B$4:$M$4</f>
            </numRef>
          </cat>
          <val>
            <numRef>
              <f>'Monthly P&amp;L Plan'!$B$7:$M$7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'Monthly P&amp;L Plan'!A19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'Monthly P&amp;L Plan'!$B$19:$M$19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Covers/day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Where Each ₹ of Revenue Goes (avg/month)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'Dashboard'!$B$16:$B$19</f>
            </numRef>
          </cat>
          <val>
            <numRef>
              <f>'Dashboard'!$C$16:$C$19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Cumulative Cash — Runway Check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P&amp;L Plan'!A18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P&amp;L Plan'!$B$4:$M$4</f>
            </numRef>
          </cat>
          <val>
            <numRef>
              <f>'Monthly P&amp;L Plan'!$B$18:$M$18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43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65</row>
      <rowOff>0</rowOff>
    </from>
    <ext cx="50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87</row>
      <rowOff>0</rowOff>
    </from>
    <ext cx="79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2" ht="32" customHeight="1">
      <c r="B2" s="1" t="inlineStr">
        <is>
          <t>🍜  BETALBATIM RESTAURANT — VISUAL DASHBOARD</t>
        </is>
      </c>
    </row>
    <row r="3">
      <c r="B3" s="2" t="inlineStr">
        <is>
          <t>Plan numbers pull from the 12-Month P&amp;L Plan tab. Actual numbers pull from the Daily Sales Log tab as you fill it in.</t>
        </is>
      </c>
    </row>
    <row r="5">
      <c r="B5" s="3" t="inlineStr">
        <is>
          <t>PLANNED (12-MONTH)</t>
        </is>
      </c>
    </row>
    <row r="6">
      <c r="B6" s="4" t="inlineStr">
        <is>
          <t>Planned Annual Revenue</t>
        </is>
      </c>
      <c r="C6" s="5" t="n"/>
      <c r="D6" s="4" t="inlineStr">
        <is>
          <t>Planned Annual Op. Profit</t>
        </is>
      </c>
      <c r="E6" s="5" t="n"/>
      <c r="F6" s="4" t="inlineStr">
        <is>
          <t>Avg Gross Margin</t>
        </is>
      </c>
      <c r="G6" s="5" t="n"/>
      <c r="H6" s="4" t="inlineStr">
        <is>
          <t>Break-even Covers/day</t>
        </is>
      </c>
      <c r="I6" s="5" t="n"/>
      <c r="J6" s="4" t="inlineStr">
        <is>
          <t>Lowest Monthly Cash</t>
        </is>
      </c>
      <c r="K6" s="5" t="n"/>
    </row>
    <row r="7">
      <c r="B7" s="6">
        <f>SUM('Monthly P&amp;L Plan'!B9:M9)</f>
        <v/>
      </c>
      <c r="C7" s="5" t="n"/>
      <c r="D7" s="6">
        <f>SUM('Monthly P&amp;L Plan'!B17:M17)</f>
        <v/>
      </c>
      <c r="E7" s="5" t="n"/>
      <c r="F7" s="7">
        <f>AVERAGE('Monthly P&amp;L Plan'!B13:M13)</f>
        <v/>
      </c>
      <c r="G7" s="5" t="n"/>
      <c r="H7" s="8">
        <f>Assumptions!$C$23</f>
        <v/>
      </c>
      <c r="I7" s="5" t="n"/>
      <c r="J7" s="6">
        <f>MIN('Monthly P&amp;L Plan'!B18:M18)</f>
        <v/>
      </c>
      <c r="K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10">
      <c r="B10" s="3" t="inlineStr">
        <is>
          <t>ACTUAL SO FAR  (from Daily Sales Log)</t>
        </is>
      </c>
    </row>
    <row r="11">
      <c r="B11" s="4" t="inlineStr">
        <is>
          <t>Revenue Logged</t>
        </is>
      </c>
      <c r="C11" s="5" t="n"/>
      <c r="D11" s="4" t="inlineStr">
        <is>
          <t>Covers Logged</t>
        </is>
      </c>
      <c r="E11" s="5" t="n"/>
      <c r="F11" s="4" t="inlineStr">
        <is>
          <t>Avg Check (Actual)</t>
        </is>
      </c>
      <c r="G11" s="5" t="n"/>
      <c r="H11" s="4" t="inlineStr">
        <is>
          <t>Avg Food Cost % (Actual)</t>
        </is>
      </c>
      <c r="I11" s="5" t="n"/>
      <c r="J11" s="4" t="inlineStr">
        <is>
          <t>Campaigns Logged</t>
        </is>
      </c>
      <c r="K11" s="5" t="n"/>
    </row>
    <row r="12">
      <c r="B12" s="6">
        <f>SUM('Daily Sales Log'!F2:F401)</f>
        <v/>
      </c>
      <c r="C12" s="5" t="n"/>
      <c r="D12" s="9">
        <f>SUM('Daily Sales Log'!E2:E401)</f>
        <v/>
      </c>
      <c r="E12" s="5" t="n"/>
      <c r="F12" s="10">
        <f>IFERROR(SUM('Daily Sales Log'!F2:F401)/SUM('Daily Sales Log'!E2:E401),0)</f>
        <v/>
      </c>
      <c r="G12" s="5" t="n"/>
      <c r="H12" s="7">
        <f>IFERROR(SUM('Daily Sales Log'!G2:G401)/SUM('Daily Sales Log'!F2:F401),0)</f>
        <v/>
      </c>
      <c r="I12" s="5" t="n"/>
      <c r="J12" s="11">
        <f>COUNTA('Campaign Tracker'!A2:A61)-1</f>
        <v/>
      </c>
      <c r="K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5">
      <c r="B15" s="3" t="inlineStr">
        <is>
          <t>WHERE EACH ₹100 OF REVENUE GOES (avg/month, plan)</t>
        </is>
      </c>
    </row>
    <row r="16">
      <c r="B16" t="inlineStr">
        <is>
          <t>Food Cost</t>
        </is>
      </c>
      <c r="C16" s="12">
        <f>AVERAGE('Monthly P&amp;L Plan'!B11:M11)</f>
        <v/>
      </c>
    </row>
    <row r="17">
      <c r="B17" t="inlineStr">
        <is>
          <t>Core Fixed Costs</t>
        </is>
      </c>
      <c r="C17" s="12">
        <f>AVERAGE('Monthly P&amp;L Plan'!B14:M14)</f>
        <v/>
      </c>
    </row>
    <row r="18">
      <c r="B18" t="inlineStr">
        <is>
          <t>Marketing</t>
        </is>
      </c>
      <c r="C18" s="12">
        <f>AVERAGE('Monthly P&amp;L Plan'!B15:M15)</f>
        <v/>
      </c>
    </row>
    <row r="19">
      <c r="B19" t="inlineStr">
        <is>
          <t>Operating Profit</t>
        </is>
      </c>
      <c r="C19" s="12">
        <f>AVERAGE('Monthly P&amp;L Plan'!B17:M17)</f>
        <v/>
      </c>
    </row>
    <row r="110">
      <c r="B110" s="2" t="inlineStr">
        <is>
          <t>Tabs:  Assumptions (edit inputs)  →  Monthly P&amp;L Plan (12-month scenario)  →  Daily Sales Log (log real days)  →  Menu Performance  →  Campaign Tracker</t>
        </is>
      </c>
    </row>
  </sheetData>
  <mergeCells count="26">
    <mergeCell ref="F11:G11"/>
    <mergeCell ref="D7:E8"/>
    <mergeCell ref="H7:I8"/>
    <mergeCell ref="B3:L3"/>
    <mergeCell ref="D12:E13"/>
    <mergeCell ref="J7:K8"/>
    <mergeCell ref="F6:G6"/>
    <mergeCell ref="D6:E6"/>
    <mergeCell ref="H6:I6"/>
    <mergeCell ref="H12:I13"/>
    <mergeCell ref="B11:C11"/>
    <mergeCell ref="J6:K6"/>
    <mergeCell ref="J12:K13"/>
    <mergeCell ref="D11:E11"/>
    <mergeCell ref="B2:L2"/>
    <mergeCell ref="H11:I11"/>
    <mergeCell ref="J11:K11"/>
    <mergeCell ref="B7:C8"/>
    <mergeCell ref="F7:G8"/>
    <mergeCell ref="B10:L10"/>
    <mergeCell ref="B6:C6"/>
    <mergeCell ref="B12:C13"/>
    <mergeCell ref="B15:C15"/>
    <mergeCell ref="F12:G13"/>
    <mergeCell ref="B5:L5"/>
    <mergeCell ref="B110:L110"/>
  </mergeCells>
  <conditionalFormatting sqref="J7:K8">
    <cfRule type="cellIs" priority="1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46" customWidth="1" min="4" max="4"/>
  </cols>
  <sheetData>
    <row r="1" ht="28" customHeight="1">
      <c r="A1" s="1" t="inlineStr">
        <is>
          <t>🍜  BETALBATIM RESTAURANT — ASSUMPTIONS &amp; SETUP</t>
        </is>
      </c>
    </row>
    <row r="2">
      <c r="A2" s="2" t="inlineStr">
        <is>
          <t>Change the yellow cells only. Every other sheet in this workbook calculates from these numbers.</t>
        </is>
      </c>
    </row>
    <row r="4">
      <c r="A4" s="3" t="inlineStr">
        <is>
          <t>CAPACITY &amp; PRICING</t>
        </is>
      </c>
    </row>
    <row r="5">
      <c r="B5" s="13" t="inlineStr">
        <is>
          <t>Seats</t>
        </is>
      </c>
      <c r="C5" s="14" t="n">
        <v>20</v>
      </c>
      <c r="D5" s="2" t="inlineStr">
        <is>
          <t>How many diners you can seat at once (18-24 fits a compact, boutique format).</t>
        </is>
      </c>
    </row>
    <row r="6">
      <c r="B6" s="13" t="inlineStr">
        <is>
          <t>Average Spend Per Person — ASP (₹)</t>
        </is>
      </c>
      <c r="C6" s="15" t="n">
        <v>550</v>
      </c>
      <c r="D6" s="2" t="inlineStr">
        <is>
          <t>₹ per guest. Betalbatim comparables run ₹400-750/person for pan-Asian, mid-range dining.</t>
        </is>
      </c>
    </row>
    <row r="7">
      <c r="B7" s="13" t="inlineStr">
        <is>
          <t>Target Food Cost %</t>
        </is>
      </c>
      <c r="C7" s="16" t="n">
        <v>0.32</v>
      </c>
      <c r="D7" s="2" t="inlineStr">
        <is>
          <t>Ingredients should be ~28-35% of revenue. Above 40% usually means under-pricing or waste.</t>
        </is>
      </c>
    </row>
    <row r="8">
      <c r="B8" s="13" t="inlineStr">
        <is>
          <t>Operating Days per Month</t>
        </is>
      </c>
      <c r="C8" s="14" t="n">
        <v>26</v>
      </c>
      <c r="D8" s="2" t="inlineStr">
        <is>
          <t>Days you're actually open. Betalbatim stays open ~year-round, unlike Agonda's monsoon shutdowns.</t>
        </is>
      </c>
    </row>
    <row r="10">
      <c r="A10" s="3" t="inlineStr">
        <is>
          <t>MONTHLY CORE FIXED COSTS  (rent, salaries, utilities — everything you pay whether you sell 5 covers or 50)</t>
        </is>
      </c>
    </row>
    <row r="11">
      <c r="B11" s="13" t="inlineStr">
        <is>
          <t>Rent (₹/month)</t>
        </is>
      </c>
      <c r="C11" s="15" t="n">
        <v>60000</v>
      </c>
      <c r="D11" s="2" t="inlineStr">
        <is>
          <t>Ground-floor 18-24 seat premises on a quiet Betalbatim/Majorda lane.</t>
        </is>
      </c>
    </row>
    <row r="12">
      <c r="B12" s="13" t="inlineStr">
        <is>
          <t>Staff Salaries (₹/month)</t>
        </is>
      </c>
      <c r="C12" s="15" t="n">
        <v>45000</v>
      </c>
      <c r="D12" s="2" t="inlineStr">
        <is>
          <t>1 chef + 1 kitchen helper. FOH run by owner/spouse to avoid a 3rd salary.</t>
        </is>
      </c>
    </row>
    <row r="13">
      <c r="B13" s="13" t="inlineStr">
        <is>
          <t>Utilities (₹/month)</t>
        </is>
      </c>
      <c r="C13" s="15" t="n">
        <v>12000</v>
      </c>
      <c r="D13" s="2" t="inlineStr">
        <is>
          <t>Electricity, gas, water, internet.</t>
        </is>
      </c>
    </row>
    <row r="14">
      <c r="B14" s="13" t="inlineStr">
        <is>
          <t>Misc / Repairs (₹/month)</t>
        </is>
      </c>
      <c r="C14" s="15" t="n">
        <v>5000</v>
      </c>
      <c r="D14" s="2" t="inlineStr">
        <is>
          <t>Linen, cleaning supplies, small breakages.</t>
        </is>
      </c>
    </row>
    <row r="15">
      <c r="B15" s="13" t="inlineStr">
        <is>
          <t>Total Core Fixed Costs (₹/month)</t>
        </is>
      </c>
      <c r="C15" s="17">
        <f>SUM(C11:C14)</f>
        <v/>
      </c>
    </row>
    <row r="17">
      <c r="A17" s="3" t="inlineStr">
        <is>
          <t>STARTUP CAPITAL &amp; CASH</t>
        </is>
      </c>
    </row>
    <row r="18">
      <c r="B18" s="13" t="inlineStr">
        <is>
          <t>Total Capex Budget (₹)</t>
        </is>
      </c>
      <c r="C18" s="15" t="n">
        <v>1000000</v>
      </c>
      <c r="D18" s="2" t="inlineStr">
        <is>
          <t>Your hard ceiling: deposit, interiors, kitchen equipment, licences.</t>
        </is>
      </c>
    </row>
    <row r="19">
      <c r="B19" s="13" t="inlineStr">
        <is>
          <t>Starting Working Capital / Cash (₹)</t>
        </is>
      </c>
      <c r="C19" s="15" t="n">
        <v>250000</v>
      </c>
      <c r="D19" s="2" t="inlineStr">
        <is>
          <t>What's left after capex — this is your survival cushion for slow months.</t>
        </is>
      </c>
    </row>
    <row r="21">
      <c r="A21" s="3" t="inlineStr">
        <is>
          <t>BREAK-EVEN  (auto-calculated — the two numbers to check before signing any lease)</t>
        </is>
      </c>
    </row>
    <row r="22">
      <c r="B22" s="13" t="inlineStr">
        <is>
          <t>Break-even Revenue (₹/month)</t>
        </is>
      </c>
      <c r="C22" s="18">
        <f>Assumptions!$C$15/(1-Assumptions!$C$7)</f>
        <v/>
      </c>
      <c r="D22" s="2" t="inlineStr">
        <is>
          <t>Fixed Costs ÷ (1 − Food Cost%). Minimum revenue needed just to not lose money.</t>
        </is>
      </c>
    </row>
    <row r="23">
      <c r="B23" s="13" t="inlineStr">
        <is>
          <t>Break-even Covers/day</t>
        </is>
      </c>
      <c r="C23" s="19">
        <f>Assumptions!$C$22/(Assumptions!$C$6*Assumptions!$C$8)</f>
        <v/>
      </c>
      <c r="D23" s="2" t="inlineStr">
        <is>
          <t>Revenue ÷ (ASP × operating days). If you can't realistically hit this many covers/day, the location doesn't work.</t>
        </is>
      </c>
    </row>
  </sheetData>
  <mergeCells count="6">
    <mergeCell ref="A1:D1"/>
    <mergeCell ref="A17:D17"/>
    <mergeCell ref="A4:D4"/>
    <mergeCell ref="A21:D21"/>
    <mergeCell ref="A2:D2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📆  12-MONTH P&amp;L PLAN  (Apr–Mar) — edit Covers/day per month, everything else calculates</t>
        </is>
      </c>
    </row>
    <row r="2">
      <c r="A2" s="2" t="inlineStr">
        <is>
          <t>This is your planning scenario. Once you're open, compare it against the Daily Sales Log tab and adjust Covers/day to match reality.</t>
        </is>
      </c>
    </row>
    <row r="4">
      <c r="A4" s="20" t="inlineStr">
        <is>
          <t>Month</t>
        </is>
      </c>
      <c r="B4" s="21" t="inlineStr">
        <is>
          <t>Apr</t>
        </is>
      </c>
      <c r="C4" s="21" t="inlineStr">
        <is>
          <t>May</t>
        </is>
      </c>
      <c r="D4" s="21" t="inlineStr">
        <is>
          <t>Jun</t>
        </is>
      </c>
      <c r="E4" s="21" t="inlineStr">
        <is>
          <t>Jul</t>
        </is>
      </c>
      <c r="F4" s="21" t="inlineStr">
        <is>
          <t>Aug</t>
        </is>
      </c>
      <c r="G4" s="21" t="inlineStr">
        <is>
          <t>Sep</t>
        </is>
      </c>
      <c r="H4" s="21" t="inlineStr">
        <is>
          <t>Oct</t>
        </is>
      </c>
      <c r="I4" s="21" t="inlineStr">
        <is>
          <t>Nov</t>
        </is>
      </c>
      <c r="J4" s="21" t="inlineStr">
        <is>
          <t>Dec</t>
        </is>
      </c>
      <c r="K4" s="21" t="inlineStr">
        <is>
          <t>Jan</t>
        </is>
      </c>
      <c r="L4" s="21" t="inlineStr">
        <is>
          <t>Feb</t>
        </is>
      </c>
      <c r="M4" s="21" t="inlineStr">
        <is>
          <t>Mar</t>
        </is>
      </c>
    </row>
    <row r="5">
      <c r="A5" s="22" t="inlineStr">
        <is>
          <t>Season</t>
        </is>
      </c>
      <c r="B5" s="23" t="inlineStr">
        <is>
          <t>Shoulder</t>
        </is>
      </c>
      <c r="C5" s="23" t="inlineStr">
        <is>
          <t>Shoulder</t>
        </is>
      </c>
      <c r="D5" s="23" t="inlineStr">
        <is>
          <t>Monsoon</t>
        </is>
      </c>
      <c r="E5" s="23" t="inlineStr">
        <is>
          <t>Monsoon</t>
        </is>
      </c>
      <c r="F5" s="23" t="inlineStr">
        <is>
          <t>Monsoon</t>
        </is>
      </c>
      <c r="G5" s="23" t="inlineStr">
        <is>
          <t>Monsoon</t>
        </is>
      </c>
      <c r="H5" s="23" t="inlineStr">
        <is>
          <t>Shoulder</t>
        </is>
      </c>
      <c r="I5" s="23" t="inlineStr">
        <is>
          <t>Peak</t>
        </is>
      </c>
      <c r="J5" s="23" t="inlineStr">
        <is>
          <t>Peak</t>
        </is>
      </c>
      <c r="K5" s="23" t="inlineStr">
        <is>
          <t>Peak</t>
        </is>
      </c>
      <c r="L5" s="23" t="inlineStr">
        <is>
          <t>Peak</t>
        </is>
      </c>
      <c r="M5" s="23" t="inlineStr">
        <is>
          <t>Shoulder</t>
        </is>
      </c>
    </row>
    <row r="6">
      <c r="A6" s="22" t="inlineStr">
        <is>
          <t>Operating Days</t>
        </is>
      </c>
      <c r="B6" s="14" t="n">
        <v>26</v>
      </c>
      <c r="C6" s="14" t="n">
        <v>26</v>
      </c>
      <c r="D6" s="14" t="n">
        <v>22</v>
      </c>
      <c r="E6" s="14" t="n">
        <v>22</v>
      </c>
      <c r="F6" s="14" t="n">
        <v>22</v>
      </c>
      <c r="G6" s="14" t="n">
        <v>24</v>
      </c>
      <c r="H6" s="14" t="n">
        <v>26</v>
      </c>
      <c r="I6" s="14" t="n">
        <v>27</v>
      </c>
      <c r="J6" s="14" t="n">
        <v>27</v>
      </c>
      <c r="K6" s="14" t="n">
        <v>27</v>
      </c>
      <c r="L6" s="14" t="n">
        <v>26</v>
      </c>
      <c r="M6" s="14" t="n">
        <v>26</v>
      </c>
    </row>
    <row r="7">
      <c r="A7" s="22" t="inlineStr">
        <is>
          <t>Covers/day (editable)</t>
        </is>
      </c>
      <c r="B7" s="24" t="n">
        <v>45</v>
      </c>
      <c r="C7" s="24" t="n">
        <v>42</v>
      </c>
      <c r="D7" s="24" t="n">
        <v>34</v>
      </c>
      <c r="E7" s="24" t="n">
        <v>33</v>
      </c>
      <c r="F7" s="24" t="n">
        <v>33</v>
      </c>
      <c r="G7" s="24" t="n">
        <v>36</v>
      </c>
      <c r="H7" s="24" t="n">
        <v>44</v>
      </c>
      <c r="I7" s="24" t="n">
        <v>56</v>
      </c>
      <c r="J7" s="24" t="n">
        <v>63</v>
      </c>
      <c r="K7" s="24" t="n">
        <v>60</v>
      </c>
      <c r="L7" s="24" t="n">
        <v>57</v>
      </c>
      <c r="M7" s="24" t="n">
        <v>48</v>
      </c>
    </row>
    <row r="8">
      <c r="A8" s="22" t="inlineStr">
        <is>
          <t>ASP (₹)</t>
        </is>
      </c>
      <c r="B8" s="25">
        <f>Assumptions!$C$6</f>
        <v/>
      </c>
      <c r="C8" s="25">
        <f>Assumptions!$C$6</f>
        <v/>
      </c>
      <c r="D8" s="25">
        <f>Assumptions!$C$6</f>
        <v/>
      </c>
      <c r="E8" s="25">
        <f>Assumptions!$C$6</f>
        <v/>
      </c>
      <c r="F8" s="25">
        <f>Assumptions!$C$6</f>
        <v/>
      </c>
      <c r="G8" s="25">
        <f>Assumptions!$C$6</f>
        <v/>
      </c>
      <c r="H8" s="25">
        <f>Assumptions!$C$6</f>
        <v/>
      </c>
      <c r="I8" s="25">
        <f>Assumptions!$C$6</f>
        <v/>
      </c>
      <c r="J8" s="25">
        <f>Assumptions!$C$6</f>
        <v/>
      </c>
      <c r="K8" s="25">
        <f>Assumptions!$C$6</f>
        <v/>
      </c>
      <c r="L8" s="25">
        <f>Assumptions!$C$6</f>
        <v/>
      </c>
      <c r="M8" s="25">
        <f>Assumptions!$C$6</f>
        <v/>
      </c>
    </row>
    <row r="9">
      <c r="A9" s="22" t="inlineStr">
        <is>
          <t>Revenue (₹)</t>
        </is>
      </c>
      <c r="B9" s="17">
        <f>B6*B7*B8</f>
        <v/>
      </c>
      <c r="C9" s="17">
        <f>C6*C7*C8</f>
        <v/>
      </c>
      <c r="D9" s="17">
        <f>D6*D7*D8</f>
        <v/>
      </c>
      <c r="E9" s="17">
        <f>E6*E7*E8</f>
        <v/>
      </c>
      <c r="F9" s="17">
        <f>F6*F7*F8</f>
        <v/>
      </c>
      <c r="G9" s="17">
        <f>G6*G7*G8</f>
        <v/>
      </c>
      <c r="H9" s="17">
        <f>H6*H7*H8</f>
        <v/>
      </c>
      <c r="I9" s="17">
        <f>I6*I7*I8</f>
        <v/>
      </c>
      <c r="J9" s="17">
        <f>J6*J7*J8</f>
        <v/>
      </c>
      <c r="K9" s="17">
        <f>K6*K7*K8</f>
        <v/>
      </c>
      <c r="L9" s="17">
        <f>L6*L7*L8</f>
        <v/>
      </c>
      <c r="M9" s="17">
        <f>M6*M7*M8</f>
        <v/>
      </c>
    </row>
    <row r="10">
      <c r="A10" s="22" t="inlineStr">
        <is>
          <t>Food Cost %</t>
        </is>
      </c>
      <c r="B10" s="26">
        <f>Assumptions!$C$7</f>
        <v/>
      </c>
      <c r="C10" s="26">
        <f>Assumptions!$C$7</f>
        <v/>
      </c>
      <c r="D10" s="26">
        <f>Assumptions!$C$7</f>
        <v/>
      </c>
      <c r="E10" s="26">
        <f>Assumptions!$C$7</f>
        <v/>
      </c>
      <c r="F10" s="26">
        <f>Assumptions!$C$7</f>
        <v/>
      </c>
      <c r="G10" s="26">
        <f>Assumptions!$C$7</f>
        <v/>
      </c>
      <c r="H10" s="26">
        <f>Assumptions!$C$7</f>
        <v/>
      </c>
      <c r="I10" s="26">
        <f>Assumptions!$C$7</f>
        <v/>
      </c>
      <c r="J10" s="26">
        <f>Assumptions!$C$7</f>
        <v/>
      </c>
      <c r="K10" s="26">
        <f>Assumptions!$C$7</f>
        <v/>
      </c>
      <c r="L10" s="26">
        <f>Assumptions!$C$7</f>
        <v/>
      </c>
      <c r="M10" s="26">
        <f>Assumptions!$C$7</f>
        <v/>
      </c>
    </row>
    <row r="11">
      <c r="A11" s="22" t="inlineStr">
        <is>
          <t>Food Cost (₹)</t>
        </is>
      </c>
      <c r="B11" s="25">
        <f>B9*B10</f>
        <v/>
      </c>
      <c r="C11" s="25">
        <f>C9*C10</f>
        <v/>
      </c>
      <c r="D11" s="25">
        <f>D9*D10</f>
        <v/>
      </c>
      <c r="E11" s="25">
        <f>E9*E10</f>
        <v/>
      </c>
      <c r="F11" s="25">
        <f>F9*F10</f>
        <v/>
      </c>
      <c r="G11" s="25">
        <f>G9*G10</f>
        <v/>
      </c>
      <c r="H11" s="25">
        <f>H9*H10</f>
        <v/>
      </c>
      <c r="I11" s="25">
        <f>I9*I10</f>
        <v/>
      </c>
      <c r="J11" s="25">
        <f>J9*J10</f>
        <v/>
      </c>
      <c r="K11" s="25">
        <f>K9*K10</f>
        <v/>
      </c>
      <c r="L11" s="25">
        <f>L9*L10</f>
        <v/>
      </c>
      <c r="M11" s="25">
        <f>M9*M10</f>
        <v/>
      </c>
    </row>
    <row r="12">
      <c r="A12" s="22" t="inlineStr">
        <is>
          <t>Gross Profit (₹)</t>
        </is>
      </c>
      <c r="B12" s="25">
        <f>B9-B11</f>
        <v/>
      </c>
      <c r="C12" s="25">
        <f>C9-C11</f>
        <v/>
      </c>
      <c r="D12" s="25">
        <f>D9-D11</f>
        <v/>
      </c>
      <c r="E12" s="25">
        <f>E9-E11</f>
        <v/>
      </c>
      <c r="F12" s="25">
        <f>F9-F11</f>
        <v/>
      </c>
      <c r="G12" s="25">
        <f>G9-G11</f>
        <v/>
      </c>
      <c r="H12" s="25">
        <f>H9-H11</f>
        <v/>
      </c>
      <c r="I12" s="25">
        <f>I9-I11</f>
        <v/>
      </c>
      <c r="J12" s="25">
        <f>J9-J11</f>
        <v/>
      </c>
      <c r="K12" s="25">
        <f>K9-K11</f>
        <v/>
      </c>
      <c r="L12" s="25">
        <f>L9-L11</f>
        <v/>
      </c>
      <c r="M12" s="25">
        <f>M9-M11</f>
        <v/>
      </c>
    </row>
    <row r="13">
      <c r="A13" s="22" t="inlineStr">
        <is>
          <t>Gross Margin %</t>
        </is>
      </c>
      <c r="B13" s="26">
        <f>IF(B9=0,0,B12/B9)</f>
        <v/>
      </c>
      <c r="C13" s="26">
        <f>IF(C9=0,0,C12/C9)</f>
        <v/>
      </c>
      <c r="D13" s="26">
        <f>IF(D9=0,0,D12/D9)</f>
        <v/>
      </c>
      <c r="E13" s="26">
        <f>IF(E9=0,0,E12/E9)</f>
        <v/>
      </c>
      <c r="F13" s="26">
        <f>IF(F9=0,0,F12/F9)</f>
        <v/>
      </c>
      <c r="G13" s="26">
        <f>IF(G9=0,0,G12/G9)</f>
        <v/>
      </c>
      <c r="H13" s="26">
        <f>IF(H9=0,0,H12/H9)</f>
        <v/>
      </c>
      <c r="I13" s="26">
        <f>IF(I9=0,0,I12/I9)</f>
        <v/>
      </c>
      <c r="J13" s="26">
        <f>IF(J9=0,0,J12/J9)</f>
        <v/>
      </c>
      <c r="K13" s="26">
        <f>IF(K9=0,0,K12/K9)</f>
        <v/>
      </c>
      <c r="L13" s="26">
        <f>IF(L9=0,0,L12/L9)</f>
        <v/>
      </c>
      <c r="M13" s="26">
        <f>IF(M9=0,0,M12/M9)</f>
        <v/>
      </c>
    </row>
    <row r="14">
      <c r="A14" s="22" t="inlineStr">
        <is>
          <t>Core Fixed Costs (₹)</t>
        </is>
      </c>
      <c r="B14" s="25">
        <f>Assumptions!$C$15</f>
        <v/>
      </c>
      <c r="C14" s="25">
        <f>Assumptions!$C$15</f>
        <v/>
      </c>
      <c r="D14" s="25">
        <f>Assumptions!$C$15</f>
        <v/>
      </c>
      <c r="E14" s="25">
        <f>Assumptions!$C$15</f>
        <v/>
      </c>
      <c r="F14" s="25">
        <f>Assumptions!$C$15</f>
        <v/>
      </c>
      <c r="G14" s="25">
        <f>Assumptions!$C$15</f>
        <v/>
      </c>
      <c r="H14" s="25">
        <f>Assumptions!$C$15</f>
        <v/>
      </c>
      <c r="I14" s="25">
        <f>Assumptions!$C$15</f>
        <v/>
      </c>
      <c r="J14" s="25">
        <f>Assumptions!$C$15</f>
        <v/>
      </c>
      <c r="K14" s="25">
        <f>Assumptions!$C$15</f>
        <v/>
      </c>
      <c r="L14" s="25">
        <f>Assumptions!$C$15</f>
        <v/>
      </c>
      <c r="M14" s="25">
        <f>Assumptions!$C$15</f>
        <v/>
      </c>
    </row>
    <row r="15">
      <c r="A15" s="22" t="inlineStr">
        <is>
          <t>Marketing Spend (₹)</t>
        </is>
      </c>
      <c r="B15" s="27" t="n">
        <v>15000</v>
      </c>
      <c r="C15" s="27" t="n">
        <v>15000</v>
      </c>
      <c r="D15" s="27" t="n">
        <v>6000</v>
      </c>
      <c r="E15" s="27" t="n">
        <v>5000</v>
      </c>
      <c r="F15" s="27" t="n">
        <v>5000</v>
      </c>
      <c r="G15" s="27" t="n">
        <v>6000</v>
      </c>
      <c r="H15" s="27" t="n">
        <v>8000</v>
      </c>
      <c r="I15" s="27" t="n">
        <v>12000</v>
      </c>
      <c r="J15" s="27" t="n">
        <v>15000</v>
      </c>
      <c r="K15" s="27" t="n">
        <v>12000</v>
      </c>
      <c r="L15" s="27" t="n">
        <v>10000</v>
      </c>
      <c r="M15" s="27" t="n">
        <v>8000</v>
      </c>
    </row>
    <row r="16">
      <c r="A16" s="22" t="inlineStr">
        <is>
          <t>Total Costs (₹)</t>
        </is>
      </c>
      <c r="B16" s="25">
        <f>B14+B15</f>
        <v/>
      </c>
      <c r="C16" s="25">
        <f>C14+C15</f>
        <v/>
      </c>
      <c r="D16" s="25">
        <f>D14+D15</f>
        <v/>
      </c>
      <c r="E16" s="25">
        <f>E14+E15</f>
        <v/>
      </c>
      <c r="F16" s="25">
        <f>F14+F15</f>
        <v/>
      </c>
      <c r="G16" s="25">
        <f>G14+G15</f>
        <v/>
      </c>
      <c r="H16" s="25">
        <f>H14+H15</f>
        <v/>
      </c>
      <c r="I16" s="25">
        <f>I14+I15</f>
        <v/>
      </c>
      <c r="J16" s="25">
        <f>J14+J15</f>
        <v/>
      </c>
      <c r="K16" s="25">
        <f>K14+K15</f>
        <v/>
      </c>
      <c r="L16" s="25">
        <f>L14+L15</f>
        <v/>
      </c>
      <c r="M16" s="25">
        <f>M14+M15</f>
        <v/>
      </c>
    </row>
    <row r="17">
      <c r="A17" s="22" t="inlineStr">
        <is>
          <t>Operating Profit (₹)</t>
        </is>
      </c>
      <c r="B17" s="17">
        <f>B12-B16</f>
        <v/>
      </c>
      <c r="C17" s="17">
        <f>C12-C16</f>
        <v/>
      </c>
      <c r="D17" s="17">
        <f>D12-D16</f>
        <v/>
      </c>
      <c r="E17" s="17">
        <f>E12-E16</f>
        <v/>
      </c>
      <c r="F17" s="17">
        <f>F12-F16</f>
        <v/>
      </c>
      <c r="G17" s="17">
        <f>G12-G16</f>
        <v/>
      </c>
      <c r="H17" s="17">
        <f>H12-H16</f>
        <v/>
      </c>
      <c r="I17" s="17">
        <f>I12-I16</f>
        <v/>
      </c>
      <c r="J17" s="17">
        <f>J12-J16</f>
        <v/>
      </c>
      <c r="K17" s="17">
        <f>K12-K16</f>
        <v/>
      </c>
      <c r="L17" s="17">
        <f>L12-L16</f>
        <v/>
      </c>
      <c r="M17" s="17">
        <f>M12-M16</f>
        <v/>
      </c>
    </row>
    <row r="18">
      <c r="A18" s="22" t="inlineStr">
        <is>
          <t>Cumulative Cash (₹)</t>
        </is>
      </c>
      <c r="B18" s="18">
        <f>Assumptions!$C$19+B17</f>
        <v/>
      </c>
      <c r="C18" s="18">
        <f>B18+C17</f>
        <v/>
      </c>
      <c r="D18" s="18">
        <f>C18+D17</f>
        <v/>
      </c>
      <c r="E18" s="18">
        <f>D18+E17</f>
        <v/>
      </c>
      <c r="F18" s="18">
        <f>E18+F17</f>
        <v/>
      </c>
      <c r="G18" s="18">
        <f>F18+G17</f>
        <v/>
      </c>
      <c r="H18" s="18">
        <f>G18+H17</f>
        <v/>
      </c>
      <c r="I18" s="18">
        <f>H18+I17</f>
        <v/>
      </c>
      <c r="J18" s="18">
        <f>I18+J17</f>
        <v/>
      </c>
      <c r="K18" s="18">
        <f>J18+K17</f>
        <v/>
      </c>
      <c r="L18" s="18">
        <f>K18+L17</f>
        <v/>
      </c>
      <c r="M18" s="18">
        <f>L18+M17</f>
        <v/>
      </c>
    </row>
    <row r="19">
      <c r="A19" s="22" t="inlineStr">
        <is>
          <t>Break-even Covers/day</t>
        </is>
      </c>
      <c r="B19" s="28">
        <f>IF(B10=1,0,(B16/(1-B10))/(B8*B6))</f>
        <v/>
      </c>
      <c r="C19" s="28">
        <f>IF(C10=1,0,(C16/(1-C10))/(C8*C6))</f>
        <v/>
      </c>
      <c r="D19" s="28">
        <f>IF(D10=1,0,(D16/(1-D10))/(D8*D6))</f>
        <v/>
      </c>
      <c r="E19" s="28">
        <f>IF(E10=1,0,(E16/(1-E10))/(E8*E6))</f>
        <v/>
      </c>
      <c r="F19" s="28">
        <f>IF(F10=1,0,(F16/(1-F10))/(F8*F6))</f>
        <v/>
      </c>
      <c r="G19" s="28">
        <f>IF(G10=1,0,(G16/(1-G10))/(G8*G6))</f>
        <v/>
      </c>
      <c r="H19" s="28">
        <f>IF(H10=1,0,(H16/(1-H10))/(H8*H6))</f>
        <v/>
      </c>
      <c r="I19" s="28">
        <f>IF(I10=1,0,(I16/(1-I10))/(I8*I6))</f>
        <v/>
      </c>
      <c r="J19" s="28">
        <f>IF(J10=1,0,(J16/(1-J10))/(J8*J6))</f>
        <v/>
      </c>
      <c r="K19" s="28">
        <f>IF(K10=1,0,(K16/(1-K10))/(K8*K6))</f>
        <v/>
      </c>
      <c r="L19" s="28">
        <f>IF(L10=1,0,(L16/(1-L10))/(L8*L6))</f>
        <v/>
      </c>
      <c r="M19" s="28">
        <f>IF(M10=1,0,(M16/(1-M10))/(M8*M6))</f>
        <v/>
      </c>
    </row>
    <row r="20">
      <c r="A20" s="22" t="inlineStr">
        <is>
          <t>vs. Break-even</t>
        </is>
      </c>
      <c r="B20" s="23">
        <f>IF(B7&gt;=B19,"✅ Above","⚠️ Below")</f>
        <v/>
      </c>
      <c r="C20" s="23">
        <f>IF(C7&gt;=C19,"✅ Above","⚠️ Below")</f>
        <v/>
      </c>
      <c r="D20" s="23">
        <f>IF(D7&gt;=D19,"✅ Above","⚠️ Below")</f>
        <v/>
      </c>
      <c r="E20" s="23">
        <f>IF(E7&gt;=E19,"✅ Above","⚠️ Below")</f>
        <v/>
      </c>
      <c r="F20" s="23">
        <f>IF(F7&gt;=F19,"✅ Above","⚠️ Below")</f>
        <v/>
      </c>
      <c r="G20" s="23">
        <f>IF(G7&gt;=G19,"✅ Above","⚠️ Below")</f>
        <v/>
      </c>
      <c r="H20" s="23">
        <f>IF(H7&gt;=H19,"✅ Above","⚠️ Below")</f>
        <v/>
      </c>
      <c r="I20" s="23">
        <f>IF(I7&gt;=I19,"✅ Above","⚠️ Below")</f>
        <v/>
      </c>
      <c r="J20" s="23">
        <f>IF(J7&gt;=J19,"✅ Above","⚠️ Below")</f>
        <v/>
      </c>
      <c r="K20" s="23">
        <f>IF(K7&gt;=K19,"✅ Above","⚠️ Below")</f>
        <v/>
      </c>
      <c r="L20" s="23">
        <f>IF(L7&gt;=L19,"✅ Above","⚠️ Below")</f>
        <v/>
      </c>
      <c r="M20" s="23">
        <f>IF(M7&gt;=M19,"✅ Above","⚠️ Below")</f>
        <v/>
      </c>
    </row>
  </sheetData>
  <mergeCells count="2">
    <mergeCell ref="A2:M2"/>
    <mergeCell ref="A1:M1"/>
  </mergeCells>
  <conditionalFormatting sqref="B20:M20">
    <cfRule type="cellIs" priority="1" operator="containsText" dxfId="1">
      <formula>"⚠️"</formula>
    </cfRule>
  </conditionalFormatting>
  <conditionalFormatting sqref="B17:M17">
    <cfRule type="cellIs" priority="2" operator="lessThan" dxfId="2">
      <formula>0</formula>
    </cfRule>
  </conditionalFormatting>
  <conditionalFormatting sqref="B18:M18">
    <cfRule type="cellIs" priority="3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1" customWidth="1" min="8" max="8"/>
    <col width="12" customWidth="1" min="9" max="9"/>
    <col width="13" customWidth="1" min="10" max="10"/>
    <col width="12" customWidth="1" min="11" max="11"/>
    <col width="30" customWidth="1" min="12" max="12"/>
  </cols>
  <sheetData>
    <row r="1" ht="30" customHeight="1">
      <c r="A1" s="29" t="inlineStr">
        <is>
          <t>Date</t>
        </is>
      </c>
      <c r="B1" s="29" t="inlineStr">
        <is>
          <t>Day</t>
        </is>
      </c>
      <c r="C1" s="29" t="inlineStr">
        <is>
          <t>Lunch Covers</t>
        </is>
      </c>
      <c r="D1" s="29" t="inlineStr">
        <is>
          <t>Dinner Covers</t>
        </is>
      </c>
      <c r="E1" s="29" t="inlineStr">
        <is>
          <t>Total Covers</t>
        </is>
      </c>
      <c r="F1" s="29" t="inlineStr">
        <is>
          <t>Revenue (₹)</t>
        </is>
      </c>
      <c r="G1" s="29" t="inlineStr">
        <is>
          <t>Food Cost (₹)</t>
        </is>
      </c>
      <c r="H1" s="29" t="inlineStr">
        <is>
          <t>Food Cost %</t>
        </is>
      </c>
      <c r="I1" s="29" t="inlineStr">
        <is>
          <t>Avg Check (₹)</t>
        </is>
      </c>
      <c r="J1" s="29" t="inlineStr">
        <is>
          <t>Offer Active</t>
        </is>
      </c>
      <c r="K1" s="29" t="inlineStr">
        <is>
          <t>Offer Cost (₹)</t>
        </is>
      </c>
      <c r="L1" s="29" t="inlineStr">
        <is>
          <t>Notes</t>
        </is>
      </c>
    </row>
    <row r="2">
      <c r="A2" s="5" t="n"/>
      <c r="B2" s="5">
        <f>IF(A2="","",TEXT(A2,"ddd"))</f>
        <v/>
      </c>
      <c r="C2" s="5" t="n"/>
      <c r="D2" s="5" t="n"/>
      <c r="E2" s="5">
        <f>IF(AND(C2="",D2=""),"",C2+D2)</f>
        <v/>
      </c>
      <c r="F2" s="25" t="n"/>
      <c r="G2" s="25" t="n"/>
      <c r="H2" s="26">
        <f>IF(OR(F2="",F2=0),"",G2/F2)</f>
        <v/>
      </c>
      <c r="I2" s="30">
        <f>IF(OR(E2="",E2=0),"",F2/E2)</f>
        <v/>
      </c>
      <c r="J2" s="5" t="n"/>
      <c r="K2" s="25" t="n"/>
      <c r="L2" s="5" t="n"/>
    </row>
    <row r="3">
      <c r="A3" s="5" t="n"/>
      <c r="B3" s="5">
        <f>IF(A3="","",TEXT(A3,"ddd"))</f>
        <v/>
      </c>
      <c r="C3" s="5" t="n"/>
      <c r="D3" s="5" t="n"/>
      <c r="E3" s="5">
        <f>IF(AND(C3="",D3=""),"",C3+D3)</f>
        <v/>
      </c>
      <c r="F3" s="25" t="n"/>
      <c r="G3" s="25" t="n"/>
      <c r="H3" s="26">
        <f>IF(OR(F3="",F3=0),"",G3/F3)</f>
        <v/>
      </c>
      <c r="I3" s="30">
        <f>IF(OR(E3="",E3=0),"",F3/E3)</f>
        <v/>
      </c>
      <c r="J3" s="5" t="n"/>
      <c r="K3" s="25" t="n"/>
      <c r="L3" s="5" t="n"/>
    </row>
    <row r="4">
      <c r="A4" s="5" t="n"/>
      <c r="B4" s="5">
        <f>IF(A4="","",TEXT(A4,"ddd"))</f>
        <v/>
      </c>
      <c r="C4" s="5" t="n"/>
      <c r="D4" s="5" t="n"/>
      <c r="E4" s="5">
        <f>IF(AND(C4="",D4=""),"",C4+D4)</f>
        <v/>
      </c>
      <c r="F4" s="25" t="n"/>
      <c r="G4" s="25" t="n"/>
      <c r="H4" s="26">
        <f>IF(OR(F4="",F4=0),"",G4/F4)</f>
        <v/>
      </c>
      <c r="I4" s="30">
        <f>IF(OR(E4="",E4=0),"",F4/E4)</f>
        <v/>
      </c>
      <c r="J4" s="5" t="n"/>
      <c r="K4" s="25" t="n"/>
      <c r="L4" s="5" t="n"/>
    </row>
    <row r="5">
      <c r="A5" s="5" t="n"/>
      <c r="B5" s="5">
        <f>IF(A5="","",TEXT(A5,"ddd"))</f>
        <v/>
      </c>
      <c r="C5" s="5" t="n"/>
      <c r="D5" s="5" t="n"/>
      <c r="E5" s="5">
        <f>IF(AND(C5="",D5=""),"",C5+D5)</f>
        <v/>
      </c>
      <c r="F5" s="25" t="n"/>
      <c r="G5" s="25" t="n"/>
      <c r="H5" s="26">
        <f>IF(OR(F5="",F5=0),"",G5/F5)</f>
        <v/>
      </c>
      <c r="I5" s="30">
        <f>IF(OR(E5="",E5=0),"",F5/E5)</f>
        <v/>
      </c>
      <c r="J5" s="5" t="n"/>
      <c r="K5" s="25" t="n"/>
      <c r="L5" s="5" t="n"/>
    </row>
    <row r="6">
      <c r="A6" s="5" t="n"/>
      <c r="B6" s="5">
        <f>IF(A6="","",TEXT(A6,"ddd"))</f>
        <v/>
      </c>
      <c r="C6" s="5" t="n"/>
      <c r="D6" s="5" t="n"/>
      <c r="E6" s="5">
        <f>IF(AND(C6="",D6=""),"",C6+D6)</f>
        <v/>
      </c>
      <c r="F6" s="25" t="n"/>
      <c r="G6" s="25" t="n"/>
      <c r="H6" s="26">
        <f>IF(OR(F6="",F6=0),"",G6/F6)</f>
        <v/>
      </c>
      <c r="I6" s="30">
        <f>IF(OR(E6="",E6=0),"",F6/E6)</f>
        <v/>
      </c>
      <c r="J6" s="5" t="n"/>
      <c r="K6" s="25" t="n"/>
      <c r="L6" s="5" t="n"/>
    </row>
    <row r="7">
      <c r="A7" s="5" t="n"/>
      <c r="B7" s="5">
        <f>IF(A7="","",TEXT(A7,"ddd"))</f>
        <v/>
      </c>
      <c r="C7" s="5" t="n"/>
      <c r="D7" s="5" t="n"/>
      <c r="E7" s="5">
        <f>IF(AND(C7="",D7=""),"",C7+D7)</f>
        <v/>
      </c>
      <c r="F7" s="25" t="n"/>
      <c r="G7" s="25" t="n"/>
      <c r="H7" s="26">
        <f>IF(OR(F7="",F7=0),"",G7/F7)</f>
        <v/>
      </c>
      <c r="I7" s="30">
        <f>IF(OR(E7="",E7=0),"",F7/E7)</f>
        <v/>
      </c>
      <c r="J7" s="5" t="n"/>
      <c r="K7" s="25" t="n"/>
      <c r="L7" s="5" t="n"/>
    </row>
    <row r="8">
      <c r="A8" s="5" t="n"/>
      <c r="B8" s="5">
        <f>IF(A8="","",TEXT(A8,"ddd"))</f>
        <v/>
      </c>
      <c r="C8" s="5" t="n"/>
      <c r="D8" s="5" t="n"/>
      <c r="E8" s="5">
        <f>IF(AND(C8="",D8=""),"",C8+D8)</f>
        <v/>
      </c>
      <c r="F8" s="25" t="n"/>
      <c r="G8" s="25" t="n"/>
      <c r="H8" s="26">
        <f>IF(OR(F8="",F8=0),"",G8/F8)</f>
        <v/>
      </c>
      <c r="I8" s="30">
        <f>IF(OR(E8="",E8=0),"",F8/E8)</f>
        <v/>
      </c>
      <c r="J8" s="5" t="n"/>
      <c r="K8" s="25" t="n"/>
      <c r="L8" s="5" t="n"/>
    </row>
    <row r="9">
      <c r="A9" s="5" t="n"/>
      <c r="B9" s="5">
        <f>IF(A9="","",TEXT(A9,"ddd"))</f>
        <v/>
      </c>
      <c r="C9" s="5" t="n"/>
      <c r="D9" s="5" t="n"/>
      <c r="E9" s="5">
        <f>IF(AND(C9="",D9=""),"",C9+D9)</f>
        <v/>
      </c>
      <c r="F9" s="25" t="n"/>
      <c r="G9" s="25" t="n"/>
      <c r="H9" s="26">
        <f>IF(OR(F9="",F9=0),"",G9/F9)</f>
        <v/>
      </c>
      <c r="I9" s="30">
        <f>IF(OR(E9="",E9=0),"",F9/E9)</f>
        <v/>
      </c>
      <c r="J9" s="5" t="n"/>
      <c r="K9" s="25" t="n"/>
      <c r="L9" s="5" t="n"/>
    </row>
    <row r="10">
      <c r="A10" s="5" t="n"/>
      <c r="B10" s="5">
        <f>IF(A10="","",TEXT(A10,"ddd"))</f>
        <v/>
      </c>
      <c r="C10" s="5" t="n"/>
      <c r="D10" s="5" t="n"/>
      <c r="E10" s="5">
        <f>IF(AND(C10="",D10=""),"",C10+D10)</f>
        <v/>
      </c>
      <c r="F10" s="25" t="n"/>
      <c r="G10" s="25" t="n"/>
      <c r="H10" s="26">
        <f>IF(OR(F10="",F10=0),"",G10/F10)</f>
        <v/>
      </c>
      <c r="I10" s="30">
        <f>IF(OR(E10="",E10=0),"",F10/E10)</f>
        <v/>
      </c>
      <c r="J10" s="5" t="n"/>
      <c r="K10" s="25" t="n"/>
      <c r="L10" s="5" t="n"/>
    </row>
    <row r="11">
      <c r="A11" s="5" t="n"/>
      <c r="B11" s="5">
        <f>IF(A11="","",TEXT(A11,"ddd"))</f>
        <v/>
      </c>
      <c r="C11" s="5" t="n"/>
      <c r="D11" s="5" t="n"/>
      <c r="E11" s="5">
        <f>IF(AND(C11="",D11=""),"",C11+D11)</f>
        <v/>
      </c>
      <c r="F11" s="25" t="n"/>
      <c r="G11" s="25" t="n"/>
      <c r="H11" s="26">
        <f>IF(OR(F11="",F11=0),"",G11/F11)</f>
        <v/>
      </c>
      <c r="I11" s="30">
        <f>IF(OR(E11="",E11=0),"",F11/E11)</f>
        <v/>
      </c>
      <c r="J11" s="5" t="n"/>
      <c r="K11" s="25" t="n"/>
      <c r="L11" s="5" t="n"/>
    </row>
    <row r="12">
      <c r="A12" s="5" t="n"/>
      <c r="B12" s="5">
        <f>IF(A12="","",TEXT(A12,"ddd"))</f>
        <v/>
      </c>
      <c r="C12" s="5" t="n"/>
      <c r="D12" s="5" t="n"/>
      <c r="E12" s="5">
        <f>IF(AND(C12="",D12=""),"",C12+D12)</f>
        <v/>
      </c>
      <c r="F12" s="25" t="n"/>
      <c r="G12" s="25" t="n"/>
      <c r="H12" s="26">
        <f>IF(OR(F12="",F12=0),"",G12/F12)</f>
        <v/>
      </c>
      <c r="I12" s="30">
        <f>IF(OR(E12="",E12=0),"",F12/E12)</f>
        <v/>
      </c>
      <c r="J12" s="5" t="n"/>
      <c r="K12" s="25" t="n"/>
      <c r="L12" s="5" t="n"/>
    </row>
    <row r="13">
      <c r="A13" s="5" t="n"/>
      <c r="B13" s="5">
        <f>IF(A13="","",TEXT(A13,"ddd"))</f>
        <v/>
      </c>
      <c r="C13" s="5" t="n"/>
      <c r="D13" s="5" t="n"/>
      <c r="E13" s="5">
        <f>IF(AND(C13="",D13=""),"",C13+D13)</f>
        <v/>
      </c>
      <c r="F13" s="25" t="n"/>
      <c r="G13" s="25" t="n"/>
      <c r="H13" s="26">
        <f>IF(OR(F13="",F13=0),"",G13/F13)</f>
        <v/>
      </c>
      <c r="I13" s="30">
        <f>IF(OR(E13="",E13=0),"",F13/E13)</f>
        <v/>
      </c>
      <c r="J13" s="5" t="n"/>
      <c r="K13" s="25" t="n"/>
      <c r="L13" s="5" t="n"/>
    </row>
    <row r="14">
      <c r="A14" s="5" t="n"/>
      <c r="B14" s="5">
        <f>IF(A14="","",TEXT(A14,"ddd"))</f>
        <v/>
      </c>
      <c r="C14" s="5" t="n"/>
      <c r="D14" s="5" t="n"/>
      <c r="E14" s="5">
        <f>IF(AND(C14="",D14=""),"",C14+D14)</f>
        <v/>
      </c>
      <c r="F14" s="25" t="n"/>
      <c r="G14" s="25" t="n"/>
      <c r="H14" s="26">
        <f>IF(OR(F14="",F14=0),"",G14/F14)</f>
        <v/>
      </c>
      <c r="I14" s="30">
        <f>IF(OR(E14="",E14=0),"",F14/E14)</f>
        <v/>
      </c>
      <c r="J14" s="5" t="n"/>
      <c r="K14" s="25" t="n"/>
      <c r="L14" s="5" t="n"/>
    </row>
    <row r="15">
      <c r="A15" s="5" t="n"/>
      <c r="B15" s="5">
        <f>IF(A15="","",TEXT(A15,"ddd"))</f>
        <v/>
      </c>
      <c r="C15" s="5" t="n"/>
      <c r="D15" s="5" t="n"/>
      <c r="E15" s="5">
        <f>IF(AND(C15="",D15=""),"",C15+D15)</f>
        <v/>
      </c>
      <c r="F15" s="25" t="n"/>
      <c r="G15" s="25" t="n"/>
      <c r="H15" s="26">
        <f>IF(OR(F15="",F15=0),"",G15/F15)</f>
        <v/>
      </c>
      <c r="I15" s="30">
        <f>IF(OR(E15="",E15=0),"",F15/E15)</f>
        <v/>
      </c>
      <c r="J15" s="5" t="n"/>
      <c r="K15" s="25" t="n"/>
      <c r="L15" s="5" t="n"/>
    </row>
    <row r="16">
      <c r="A16" s="5" t="n"/>
      <c r="B16" s="5">
        <f>IF(A16="","",TEXT(A16,"ddd"))</f>
        <v/>
      </c>
      <c r="C16" s="5" t="n"/>
      <c r="D16" s="5" t="n"/>
      <c r="E16" s="5">
        <f>IF(AND(C16="",D16=""),"",C16+D16)</f>
        <v/>
      </c>
      <c r="F16" s="25" t="n"/>
      <c r="G16" s="25" t="n"/>
      <c r="H16" s="26">
        <f>IF(OR(F16="",F16=0),"",G16/F16)</f>
        <v/>
      </c>
      <c r="I16" s="30">
        <f>IF(OR(E16="",E16=0),"",F16/E16)</f>
        <v/>
      </c>
      <c r="J16" s="5" t="n"/>
      <c r="K16" s="25" t="n"/>
      <c r="L16" s="5" t="n"/>
    </row>
    <row r="17">
      <c r="A17" s="5" t="n"/>
      <c r="B17" s="5">
        <f>IF(A17="","",TEXT(A17,"ddd"))</f>
        <v/>
      </c>
      <c r="C17" s="5" t="n"/>
      <c r="D17" s="5" t="n"/>
      <c r="E17" s="5">
        <f>IF(AND(C17="",D17=""),"",C17+D17)</f>
        <v/>
      </c>
      <c r="F17" s="25" t="n"/>
      <c r="G17" s="25" t="n"/>
      <c r="H17" s="26">
        <f>IF(OR(F17="",F17=0),"",G17/F17)</f>
        <v/>
      </c>
      <c r="I17" s="30">
        <f>IF(OR(E17="",E17=0),"",F17/E17)</f>
        <v/>
      </c>
      <c r="J17" s="5" t="n"/>
      <c r="K17" s="25" t="n"/>
      <c r="L17" s="5" t="n"/>
    </row>
    <row r="18">
      <c r="A18" s="5" t="n"/>
      <c r="B18" s="5">
        <f>IF(A18="","",TEXT(A18,"ddd"))</f>
        <v/>
      </c>
      <c r="C18" s="5" t="n"/>
      <c r="D18" s="5" t="n"/>
      <c r="E18" s="5">
        <f>IF(AND(C18="",D18=""),"",C18+D18)</f>
        <v/>
      </c>
      <c r="F18" s="25" t="n"/>
      <c r="G18" s="25" t="n"/>
      <c r="H18" s="26">
        <f>IF(OR(F18="",F18=0),"",G18/F18)</f>
        <v/>
      </c>
      <c r="I18" s="30">
        <f>IF(OR(E18="",E18=0),"",F18/E18)</f>
        <v/>
      </c>
      <c r="J18" s="5" t="n"/>
      <c r="K18" s="25" t="n"/>
      <c r="L18" s="5" t="n"/>
    </row>
    <row r="19">
      <c r="A19" s="5" t="n"/>
      <c r="B19" s="5">
        <f>IF(A19="","",TEXT(A19,"ddd"))</f>
        <v/>
      </c>
      <c r="C19" s="5" t="n"/>
      <c r="D19" s="5" t="n"/>
      <c r="E19" s="5">
        <f>IF(AND(C19="",D19=""),"",C19+D19)</f>
        <v/>
      </c>
      <c r="F19" s="25" t="n"/>
      <c r="G19" s="25" t="n"/>
      <c r="H19" s="26">
        <f>IF(OR(F19="",F19=0),"",G19/F19)</f>
        <v/>
      </c>
      <c r="I19" s="30">
        <f>IF(OR(E19="",E19=0),"",F19/E19)</f>
        <v/>
      </c>
      <c r="J19" s="5" t="n"/>
      <c r="K19" s="25" t="n"/>
      <c r="L19" s="5" t="n"/>
    </row>
    <row r="20">
      <c r="A20" s="5" t="n"/>
      <c r="B20" s="5">
        <f>IF(A20="","",TEXT(A20,"ddd"))</f>
        <v/>
      </c>
      <c r="C20" s="5" t="n"/>
      <c r="D20" s="5" t="n"/>
      <c r="E20" s="5">
        <f>IF(AND(C20="",D20=""),"",C20+D20)</f>
        <v/>
      </c>
      <c r="F20" s="25" t="n"/>
      <c r="G20" s="25" t="n"/>
      <c r="H20" s="26">
        <f>IF(OR(F20="",F20=0),"",G20/F20)</f>
        <v/>
      </c>
      <c r="I20" s="30">
        <f>IF(OR(E20="",E20=0),"",F20/E20)</f>
        <v/>
      </c>
      <c r="J20" s="5" t="n"/>
      <c r="K20" s="25" t="n"/>
      <c r="L20" s="5" t="n"/>
    </row>
    <row r="21">
      <c r="A21" s="5" t="n"/>
      <c r="B21" s="5">
        <f>IF(A21="","",TEXT(A21,"ddd"))</f>
        <v/>
      </c>
      <c r="C21" s="5" t="n"/>
      <c r="D21" s="5" t="n"/>
      <c r="E21" s="5">
        <f>IF(AND(C21="",D21=""),"",C21+D21)</f>
        <v/>
      </c>
      <c r="F21" s="25" t="n"/>
      <c r="G21" s="25" t="n"/>
      <c r="H21" s="26">
        <f>IF(OR(F21="",F21=0),"",G21/F21)</f>
        <v/>
      </c>
      <c r="I21" s="30">
        <f>IF(OR(E21="",E21=0),"",F21/E21)</f>
        <v/>
      </c>
      <c r="J21" s="5" t="n"/>
      <c r="K21" s="25" t="n"/>
      <c r="L21" s="5" t="n"/>
    </row>
    <row r="22">
      <c r="A22" s="5" t="n"/>
      <c r="B22" s="5">
        <f>IF(A22="","",TEXT(A22,"ddd"))</f>
        <v/>
      </c>
      <c r="C22" s="5" t="n"/>
      <c r="D22" s="5" t="n"/>
      <c r="E22" s="5">
        <f>IF(AND(C22="",D22=""),"",C22+D22)</f>
        <v/>
      </c>
      <c r="F22" s="25" t="n"/>
      <c r="G22" s="25" t="n"/>
      <c r="H22" s="26">
        <f>IF(OR(F22="",F22=0),"",G22/F22)</f>
        <v/>
      </c>
      <c r="I22" s="30">
        <f>IF(OR(E22="",E22=0),"",F22/E22)</f>
        <v/>
      </c>
      <c r="J22" s="5" t="n"/>
      <c r="K22" s="25" t="n"/>
      <c r="L22" s="5" t="n"/>
    </row>
    <row r="23">
      <c r="A23" s="5" t="n"/>
      <c r="B23" s="5">
        <f>IF(A23="","",TEXT(A23,"ddd"))</f>
        <v/>
      </c>
      <c r="C23" s="5" t="n"/>
      <c r="D23" s="5" t="n"/>
      <c r="E23" s="5">
        <f>IF(AND(C23="",D23=""),"",C23+D23)</f>
        <v/>
      </c>
      <c r="F23" s="25" t="n"/>
      <c r="G23" s="25" t="n"/>
      <c r="H23" s="26">
        <f>IF(OR(F23="",F23=0),"",G23/F23)</f>
        <v/>
      </c>
      <c r="I23" s="30">
        <f>IF(OR(E23="",E23=0),"",F23/E23)</f>
        <v/>
      </c>
      <c r="J23" s="5" t="n"/>
      <c r="K23" s="25" t="n"/>
      <c r="L23" s="5" t="n"/>
    </row>
    <row r="24">
      <c r="A24" s="5" t="n"/>
      <c r="B24" s="5">
        <f>IF(A24="","",TEXT(A24,"ddd"))</f>
        <v/>
      </c>
      <c r="C24" s="5" t="n"/>
      <c r="D24" s="5" t="n"/>
      <c r="E24" s="5">
        <f>IF(AND(C24="",D24=""),"",C24+D24)</f>
        <v/>
      </c>
      <c r="F24" s="25" t="n"/>
      <c r="G24" s="25" t="n"/>
      <c r="H24" s="26">
        <f>IF(OR(F24="",F24=0),"",G24/F24)</f>
        <v/>
      </c>
      <c r="I24" s="30">
        <f>IF(OR(E24="",E24=0),"",F24/E24)</f>
        <v/>
      </c>
      <c r="J24" s="5" t="n"/>
      <c r="K24" s="25" t="n"/>
      <c r="L24" s="5" t="n"/>
    </row>
    <row r="25">
      <c r="A25" s="5" t="n"/>
      <c r="B25" s="5">
        <f>IF(A25="","",TEXT(A25,"ddd"))</f>
        <v/>
      </c>
      <c r="C25" s="5" t="n"/>
      <c r="D25" s="5" t="n"/>
      <c r="E25" s="5">
        <f>IF(AND(C25="",D25=""),"",C25+D25)</f>
        <v/>
      </c>
      <c r="F25" s="25" t="n"/>
      <c r="G25" s="25" t="n"/>
      <c r="H25" s="26">
        <f>IF(OR(F25="",F25=0),"",G25/F25)</f>
        <v/>
      </c>
      <c r="I25" s="30">
        <f>IF(OR(E25="",E25=0),"",F25/E25)</f>
        <v/>
      </c>
      <c r="J25" s="5" t="n"/>
      <c r="K25" s="25" t="n"/>
      <c r="L25" s="5" t="n"/>
    </row>
    <row r="26">
      <c r="A26" s="5" t="n"/>
      <c r="B26" s="5">
        <f>IF(A26="","",TEXT(A26,"ddd"))</f>
        <v/>
      </c>
      <c r="C26" s="5" t="n"/>
      <c r="D26" s="5" t="n"/>
      <c r="E26" s="5">
        <f>IF(AND(C26="",D26=""),"",C26+D26)</f>
        <v/>
      </c>
      <c r="F26" s="25" t="n"/>
      <c r="G26" s="25" t="n"/>
      <c r="H26" s="26">
        <f>IF(OR(F26="",F26=0),"",G26/F26)</f>
        <v/>
      </c>
      <c r="I26" s="30">
        <f>IF(OR(E26="",E26=0),"",F26/E26)</f>
        <v/>
      </c>
      <c r="J26" s="5" t="n"/>
      <c r="K26" s="25" t="n"/>
      <c r="L26" s="5" t="n"/>
    </row>
    <row r="27">
      <c r="A27" s="5" t="n"/>
      <c r="B27" s="5">
        <f>IF(A27="","",TEXT(A27,"ddd"))</f>
        <v/>
      </c>
      <c r="C27" s="5" t="n"/>
      <c r="D27" s="5" t="n"/>
      <c r="E27" s="5">
        <f>IF(AND(C27="",D27=""),"",C27+D27)</f>
        <v/>
      </c>
      <c r="F27" s="25" t="n"/>
      <c r="G27" s="25" t="n"/>
      <c r="H27" s="26">
        <f>IF(OR(F27="",F27=0),"",G27/F27)</f>
        <v/>
      </c>
      <c r="I27" s="30">
        <f>IF(OR(E27="",E27=0),"",F27/E27)</f>
        <v/>
      </c>
      <c r="J27" s="5" t="n"/>
      <c r="K27" s="25" t="n"/>
      <c r="L27" s="5" t="n"/>
    </row>
    <row r="28">
      <c r="A28" s="5" t="n"/>
      <c r="B28" s="5">
        <f>IF(A28="","",TEXT(A28,"ddd"))</f>
        <v/>
      </c>
      <c r="C28" s="5" t="n"/>
      <c r="D28" s="5" t="n"/>
      <c r="E28" s="5">
        <f>IF(AND(C28="",D28=""),"",C28+D28)</f>
        <v/>
      </c>
      <c r="F28" s="25" t="n"/>
      <c r="G28" s="25" t="n"/>
      <c r="H28" s="26">
        <f>IF(OR(F28="",F28=0),"",G28/F28)</f>
        <v/>
      </c>
      <c r="I28" s="30">
        <f>IF(OR(E28="",E28=0),"",F28/E28)</f>
        <v/>
      </c>
      <c r="J28" s="5" t="n"/>
      <c r="K28" s="25" t="n"/>
      <c r="L28" s="5" t="n"/>
    </row>
    <row r="29">
      <c r="A29" s="5" t="n"/>
      <c r="B29" s="5">
        <f>IF(A29="","",TEXT(A29,"ddd"))</f>
        <v/>
      </c>
      <c r="C29" s="5" t="n"/>
      <c r="D29" s="5" t="n"/>
      <c r="E29" s="5">
        <f>IF(AND(C29="",D29=""),"",C29+D29)</f>
        <v/>
      </c>
      <c r="F29" s="25" t="n"/>
      <c r="G29" s="25" t="n"/>
      <c r="H29" s="26">
        <f>IF(OR(F29="",F29=0),"",G29/F29)</f>
        <v/>
      </c>
      <c r="I29" s="30">
        <f>IF(OR(E29="",E29=0),"",F29/E29)</f>
        <v/>
      </c>
      <c r="J29" s="5" t="n"/>
      <c r="K29" s="25" t="n"/>
      <c r="L29" s="5" t="n"/>
    </row>
    <row r="30">
      <c r="A30" s="5" t="n"/>
      <c r="B30" s="5">
        <f>IF(A30="","",TEXT(A30,"ddd"))</f>
        <v/>
      </c>
      <c r="C30" s="5" t="n"/>
      <c r="D30" s="5" t="n"/>
      <c r="E30" s="5">
        <f>IF(AND(C30="",D30=""),"",C30+D30)</f>
        <v/>
      </c>
      <c r="F30" s="25" t="n"/>
      <c r="G30" s="25" t="n"/>
      <c r="H30" s="26">
        <f>IF(OR(F30="",F30=0),"",G30/F30)</f>
        <v/>
      </c>
      <c r="I30" s="30">
        <f>IF(OR(E30="",E30=0),"",F30/E30)</f>
        <v/>
      </c>
      <c r="J30" s="5" t="n"/>
      <c r="K30" s="25" t="n"/>
      <c r="L30" s="5" t="n"/>
    </row>
    <row r="31">
      <c r="A31" s="5" t="n"/>
      <c r="B31" s="5">
        <f>IF(A31="","",TEXT(A31,"ddd"))</f>
        <v/>
      </c>
      <c r="C31" s="5" t="n"/>
      <c r="D31" s="5" t="n"/>
      <c r="E31" s="5">
        <f>IF(AND(C31="",D31=""),"",C31+D31)</f>
        <v/>
      </c>
      <c r="F31" s="25" t="n"/>
      <c r="G31" s="25" t="n"/>
      <c r="H31" s="26">
        <f>IF(OR(F31="",F31=0),"",G31/F31)</f>
        <v/>
      </c>
      <c r="I31" s="30">
        <f>IF(OR(E31="",E31=0),"",F31/E31)</f>
        <v/>
      </c>
      <c r="J31" s="5" t="n"/>
      <c r="K31" s="25" t="n"/>
      <c r="L31" s="5" t="n"/>
    </row>
    <row r="32">
      <c r="A32" s="5" t="n"/>
      <c r="B32" s="5">
        <f>IF(A32="","",TEXT(A32,"ddd"))</f>
        <v/>
      </c>
      <c r="C32" s="5" t="n"/>
      <c r="D32" s="5" t="n"/>
      <c r="E32" s="5">
        <f>IF(AND(C32="",D32=""),"",C32+D32)</f>
        <v/>
      </c>
      <c r="F32" s="25" t="n"/>
      <c r="G32" s="25" t="n"/>
      <c r="H32" s="26">
        <f>IF(OR(F32="",F32=0),"",G32/F32)</f>
        <v/>
      </c>
      <c r="I32" s="30">
        <f>IF(OR(E32="",E32=0),"",F32/E32)</f>
        <v/>
      </c>
      <c r="J32" s="5" t="n"/>
      <c r="K32" s="25" t="n"/>
      <c r="L32" s="5" t="n"/>
    </row>
    <row r="33">
      <c r="A33" s="5" t="n"/>
      <c r="B33" s="5">
        <f>IF(A33="","",TEXT(A33,"ddd"))</f>
        <v/>
      </c>
      <c r="C33" s="5" t="n"/>
      <c r="D33" s="5" t="n"/>
      <c r="E33" s="5">
        <f>IF(AND(C33="",D33=""),"",C33+D33)</f>
        <v/>
      </c>
      <c r="F33" s="25" t="n"/>
      <c r="G33" s="25" t="n"/>
      <c r="H33" s="26">
        <f>IF(OR(F33="",F33=0),"",G33/F33)</f>
        <v/>
      </c>
      <c r="I33" s="30">
        <f>IF(OR(E33="",E33=0),"",F33/E33)</f>
        <v/>
      </c>
      <c r="J33" s="5" t="n"/>
      <c r="K33" s="25" t="n"/>
      <c r="L33" s="5" t="n"/>
    </row>
    <row r="34">
      <c r="A34" s="5" t="n"/>
      <c r="B34" s="5">
        <f>IF(A34="","",TEXT(A34,"ddd"))</f>
        <v/>
      </c>
      <c r="C34" s="5" t="n"/>
      <c r="D34" s="5" t="n"/>
      <c r="E34" s="5">
        <f>IF(AND(C34="",D34=""),"",C34+D34)</f>
        <v/>
      </c>
      <c r="F34" s="25" t="n"/>
      <c r="G34" s="25" t="n"/>
      <c r="H34" s="26">
        <f>IF(OR(F34="",F34=0),"",G34/F34)</f>
        <v/>
      </c>
      <c r="I34" s="30">
        <f>IF(OR(E34="",E34=0),"",F34/E34)</f>
        <v/>
      </c>
      <c r="J34" s="5" t="n"/>
      <c r="K34" s="25" t="n"/>
      <c r="L34" s="5" t="n"/>
    </row>
    <row r="35">
      <c r="A35" s="5" t="n"/>
      <c r="B35" s="5">
        <f>IF(A35="","",TEXT(A35,"ddd"))</f>
        <v/>
      </c>
      <c r="C35" s="5" t="n"/>
      <c r="D35" s="5" t="n"/>
      <c r="E35" s="5">
        <f>IF(AND(C35="",D35=""),"",C35+D35)</f>
        <v/>
      </c>
      <c r="F35" s="25" t="n"/>
      <c r="G35" s="25" t="n"/>
      <c r="H35" s="26">
        <f>IF(OR(F35="",F35=0),"",G35/F35)</f>
        <v/>
      </c>
      <c r="I35" s="30">
        <f>IF(OR(E35="",E35=0),"",F35/E35)</f>
        <v/>
      </c>
      <c r="J35" s="5" t="n"/>
      <c r="K35" s="25" t="n"/>
      <c r="L35" s="5" t="n"/>
    </row>
    <row r="36">
      <c r="A36" s="5" t="n"/>
      <c r="B36" s="5">
        <f>IF(A36="","",TEXT(A36,"ddd"))</f>
        <v/>
      </c>
      <c r="C36" s="5" t="n"/>
      <c r="D36" s="5" t="n"/>
      <c r="E36" s="5">
        <f>IF(AND(C36="",D36=""),"",C36+D36)</f>
        <v/>
      </c>
      <c r="F36" s="25" t="n"/>
      <c r="G36" s="25" t="n"/>
      <c r="H36" s="26">
        <f>IF(OR(F36="",F36=0),"",G36/F36)</f>
        <v/>
      </c>
      <c r="I36" s="30">
        <f>IF(OR(E36="",E36=0),"",F36/E36)</f>
        <v/>
      </c>
      <c r="J36" s="5" t="n"/>
      <c r="K36" s="25" t="n"/>
      <c r="L36" s="5" t="n"/>
    </row>
    <row r="37">
      <c r="A37" s="5" t="n"/>
      <c r="B37" s="5">
        <f>IF(A37="","",TEXT(A37,"ddd"))</f>
        <v/>
      </c>
      <c r="C37" s="5" t="n"/>
      <c r="D37" s="5" t="n"/>
      <c r="E37" s="5">
        <f>IF(AND(C37="",D37=""),"",C37+D37)</f>
        <v/>
      </c>
      <c r="F37" s="25" t="n"/>
      <c r="G37" s="25" t="n"/>
      <c r="H37" s="26">
        <f>IF(OR(F37="",F37=0),"",G37/F37)</f>
        <v/>
      </c>
      <c r="I37" s="30">
        <f>IF(OR(E37="",E37=0),"",F37/E37)</f>
        <v/>
      </c>
      <c r="J37" s="5" t="n"/>
      <c r="K37" s="25" t="n"/>
      <c r="L37" s="5" t="n"/>
    </row>
    <row r="38">
      <c r="A38" s="5" t="n"/>
      <c r="B38" s="5">
        <f>IF(A38="","",TEXT(A38,"ddd"))</f>
        <v/>
      </c>
      <c r="C38" s="5" t="n"/>
      <c r="D38" s="5" t="n"/>
      <c r="E38" s="5">
        <f>IF(AND(C38="",D38=""),"",C38+D38)</f>
        <v/>
      </c>
      <c r="F38" s="25" t="n"/>
      <c r="G38" s="25" t="n"/>
      <c r="H38" s="26">
        <f>IF(OR(F38="",F38=0),"",G38/F38)</f>
        <v/>
      </c>
      <c r="I38" s="30">
        <f>IF(OR(E38="",E38=0),"",F38/E38)</f>
        <v/>
      </c>
      <c r="J38" s="5" t="n"/>
      <c r="K38" s="25" t="n"/>
      <c r="L38" s="5" t="n"/>
    </row>
    <row r="39">
      <c r="A39" s="5" t="n"/>
      <c r="B39" s="5">
        <f>IF(A39="","",TEXT(A39,"ddd"))</f>
        <v/>
      </c>
      <c r="C39" s="5" t="n"/>
      <c r="D39" s="5" t="n"/>
      <c r="E39" s="5">
        <f>IF(AND(C39="",D39=""),"",C39+D39)</f>
        <v/>
      </c>
      <c r="F39" s="25" t="n"/>
      <c r="G39" s="25" t="n"/>
      <c r="H39" s="26">
        <f>IF(OR(F39="",F39=0),"",G39/F39)</f>
        <v/>
      </c>
      <c r="I39" s="30">
        <f>IF(OR(E39="",E39=0),"",F39/E39)</f>
        <v/>
      </c>
      <c r="J39" s="5" t="n"/>
      <c r="K39" s="25" t="n"/>
      <c r="L39" s="5" t="n"/>
    </row>
    <row r="40">
      <c r="A40" s="5" t="n"/>
      <c r="B40" s="5">
        <f>IF(A40="","",TEXT(A40,"ddd"))</f>
        <v/>
      </c>
      <c r="C40" s="5" t="n"/>
      <c r="D40" s="5" t="n"/>
      <c r="E40" s="5">
        <f>IF(AND(C40="",D40=""),"",C40+D40)</f>
        <v/>
      </c>
      <c r="F40" s="25" t="n"/>
      <c r="G40" s="25" t="n"/>
      <c r="H40" s="26">
        <f>IF(OR(F40="",F40=0),"",G40/F40)</f>
        <v/>
      </c>
      <c r="I40" s="30">
        <f>IF(OR(E40="",E40=0),"",F40/E40)</f>
        <v/>
      </c>
      <c r="J40" s="5" t="n"/>
      <c r="K40" s="25" t="n"/>
      <c r="L40" s="5" t="n"/>
    </row>
    <row r="41">
      <c r="A41" s="5" t="n"/>
      <c r="B41" s="5">
        <f>IF(A41="","",TEXT(A41,"ddd"))</f>
        <v/>
      </c>
      <c r="C41" s="5" t="n"/>
      <c r="D41" s="5" t="n"/>
      <c r="E41" s="5">
        <f>IF(AND(C41="",D41=""),"",C41+D41)</f>
        <v/>
      </c>
      <c r="F41" s="25" t="n"/>
      <c r="G41" s="25" t="n"/>
      <c r="H41" s="26">
        <f>IF(OR(F41="",F41=0),"",G41/F41)</f>
        <v/>
      </c>
      <c r="I41" s="30">
        <f>IF(OR(E41="",E41=0),"",F41/E41)</f>
        <v/>
      </c>
      <c r="J41" s="5" t="n"/>
      <c r="K41" s="25" t="n"/>
      <c r="L41" s="5" t="n"/>
    </row>
    <row r="42">
      <c r="A42" s="5" t="n"/>
      <c r="B42" s="5">
        <f>IF(A42="","",TEXT(A42,"ddd"))</f>
        <v/>
      </c>
      <c r="C42" s="5" t="n"/>
      <c r="D42" s="5" t="n"/>
      <c r="E42" s="5">
        <f>IF(AND(C42="",D42=""),"",C42+D42)</f>
        <v/>
      </c>
      <c r="F42" s="25" t="n"/>
      <c r="G42" s="25" t="n"/>
      <c r="H42" s="26">
        <f>IF(OR(F42="",F42=0),"",G42/F42)</f>
        <v/>
      </c>
      <c r="I42" s="30">
        <f>IF(OR(E42="",E42=0),"",F42/E42)</f>
        <v/>
      </c>
      <c r="J42" s="5" t="n"/>
      <c r="K42" s="25" t="n"/>
      <c r="L42" s="5" t="n"/>
    </row>
    <row r="43">
      <c r="A43" s="5" t="n"/>
      <c r="B43" s="5">
        <f>IF(A43="","",TEXT(A43,"ddd"))</f>
        <v/>
      </c>
      <c r="C43" s="5" t="n"/>
      <c r="D43" s="5" t="n"/>
      <c r="E43" s="5">
        <f>IF(AND(C43="",D43=""),"",C43+D43)</f>
        <v/>
      </c>
      <c r="F43" s="25" t="n"/>
      <c r="G43" s="25" t="n"/>
      <c r="H43" s="26">
        <f>IF(OR(F43="",F43=0),"",G43/F43)</f>
        <v/>
      </c>
      <c r="I43" s="30">
        <f>IF(OR(E43="",E43=0),"",F43/E43)</f>
        <v/>
      </c>
      <c r="J43" s="5" t="n"/>
      <c r="K43" s="25" t="n"/>
      <c r="L43" s="5" t="n"/>
    </row>
    <row r="44">
      <c r="A44" s="5" t="n"/>
      <c r="B44" s="5">
        <f>IF(A44="","",TEXT(A44,"ddd"))</f>
        <v/>
      </c>
      <c r="C44" s="5" t="n"/>
      <c r="D44" s="5" t="n"/>
      <c r="E44" s="5">
        <f>IF(AND(C44="",D44=""),"",C44+D44)</f>
        <v/>
      </c>
      <c r="F44" s="25" t="n"/>
      <c r="G44" s="25" t="n"/>
      <c r="H44" s="26">
        <f>IF(OR(F44="",F44=0),"",G44/F44)</f>
        <v/>
      </c>
      <c r="I44" s="30">
        <f>IF(OR(E44="",E44=0),"",F44/E44)</f>
        <v/>
      </c>
      <c r="J44" s="5" t="n"/>
      <c r="K44" s="25" t="n"/>
      <c r="L44" s="5" t="n"/>
    </row>
    <row r="45">
      <c r="A45" s="5" t="n"/>
      <c r="B45" s="5">
        <f>IF(A45="","",TEXT(A45,"ddd"))</f>
        <v/>
      </c>
      <c r="C45" s="5" t="n"/>
      <c r="D45" s="5" t="n"/>
      <c r="E45" s="5">
        <f>IF(AND(C45="",D45=""),"",C45+D45)</f>
        <v/>
      </c>
      <c r="F45" s="25" t="n"/>
      <c r="G45" s="25" t="n"/>
      <c r="H45" s="26">
        <f>IF(OR(F45="",F45=0),"",G45/F45)</f>
        <v/>
      </c>
      <c r="I45" s="30">
        <f>IF(OR(E45="",E45=0),"",F45/E45)</f>
        <v/>
      </c>
      <c r="J45" s="5" t="n"/>
      <c r="K45" s="25" t="n"/>
      <c r="L45" s="5" t="n"/>
    </row>
    <row r="46">
      <c r="A46" s="5" t="n"/>
      <c r="B46" s="5">
        <f>IF(A46="","",TEXT(A46,"ddd"))</f>
        <v/>
      </c>
      <c r="C46" s="5" t="n"/>
      <c r="D46" s="5" t="n"/>
      <c r="E46" s="5">
        <f>IF(AND(C46="",D46=""),"",C46+D46)</f>
        <v/>
      </c>
      <c r="F46" s="25" t="n"/>
      <c r="G46" s="25" t="n"/>
      <c r="H46" s="26">
        <f>IF(OR(F46="",F46=0),"",G46/F46)</f>
        <v/>
      </c>
      <c r="I46" s="30">
        <f>IF(OR(E46="",E46=0),"",F46/E46)</f>
        <v/>
      </c>
      <c r="J46" s="5" t="n"/>
      <c r="K46" s="25" t="n"/>
      <c r="L46" s="5" t="n"/>
    </row>
    <row r="47">
      <c r="A47" s="5" t="n"/>
      <c r="B47" s="5">
        <f>IF(A47="","",TEXT(A47,"ddd"))</f>
        <v/>
      </c>
      <c r="C47" s="5" t="n"/>
      <c r="D47" s="5" t="n"/>
      <c r="E47" s="5">
        <f>IF(AND(C47="",D47=""),"",C47+D47)</f>
        <v/>
      </c>
      <c r="F47" s="25" t="n"/>
      <c r="G47" s="25" t="n"/>
      <c r="H47" s="26">
        <f>IF(OR(F47="",F47=0),"",G47/F47)</f>
        <v/>
      </c>
      <c r="I47" s="30">
        <f>IF(OR(E47="",E47=0),"",F47/E47)</f>
        <v/>
      </c>
      <c r="J47" s="5" t="n"/>
      <c r="K47" s="25" t="n"/>
      <c r="L47" s="5" t="n"/>
    </row>
    <row r="48">
      <c r="A48" s="5" t="n"/>
      <c r="B48" s="5">
        <f>IF(A48="","",TEXT(A48,"ddd"))</f>
        <v/>
      </c>
      <c r="C48" s="5" t="n"/>
      <c r="D48" s="5" t="n"/>
      <c r="E48" s="5">
        <f>IF(AND(C48="",D48=""),"",C48+D48)</f>
        <v/>
      </c>
      <c r="F48" s="25" t="n"/>
      <c r="G48" s="25" t="n"/>
      <c r="H48" s="26">
        <f>IF(OR(F48="",F48=0),"",G48/F48)</f>
        <v/>
      </c>
      <c r="I48" s="30">
        <f>IF(OR(E48="",E48=0),"",F48/E48)</f>
        <v/>
      </c>
      <c r="J48" s="5" t="n"/>
      <c r="K48" s="25" t="n"/>
      <c r="L48" s="5" t="n"/>
    </row>
    <row r="49">
      <c r="A49" s="5" t="n"/>
      <c r="B49" s="5">
        <f>IF(A49="","",TEXT(A49,"ddd"))</f>
        <v/>
      </c>
      <c r="C49" s="5" t="n"/>
      <c r="D49" s="5" t="n"/>
      <c r="E49" s="5">
        <f>IF(AND(C49="",D49=""),"",C49+D49)</f>
        <v/>
      </c>
      <c r="F49" s="25" t="n"/>
      <c r="G49" s="25" t="n"/>
      <c r="H49" s="26">
        <f>IF(OR(F49="",F49=0),"",G49/F49)</f>
        <v/>
      </c>
      <c r="I49" s="30">
        <f>IF(OR(E49="",E49=0),"",F49/E49)</f>
        <v/>
      </c>
      <c r="J49" s="5" t="n"/>
      <c r="K49" s="25" t="n"/>
      <c r="L49" s="5" t="n"/>
    </row>
    <row r="50">
      <c r="A50" s="5" t="n"/>
      <c r="B50" s="5">
        <f>IF(A50="","",TEXT(A50,"ddd"))</f>
        <v/>
      </c>
      <c r="C50" s="5" t="n"/>
      <c r="D50" s="5" t="n"/>
      <c r="E50" s="5">
        <f>IF(AND(C50="",D50=""),"",C50+D50)</f>
        <v/>
      </c>
      <c r="F50" s="25" t="n"/>
      <c r="G50" s="25" t="n"/>
      <c r="H50" s="26">
        <f>IF(OR(F50="",F50=0),"",G50/F50)</f>
        <v/>
      </c>
      <c r="I50" s="30">
        <f>IF(OR(E50="",E50=0),"",F50/E50)</f>
        <v/>
      </c>
      <c r="J50" s="5" t="n"/>
      <c r="K50" s="25" t="n"/>
      <c r="L50" s="5" t="n"/>
    </row>
    <row r="51">
      <c r="A51" s="5" t="n"/>
      <c r="B51" s="5">
        <f>IF(A51="","",TEXT(A51,"ddd"))</f>
        <v/>
      </c>
      <c r="C51" s="5" t="n"/>
      <c r="D51" s="5" t="n"/>
      <c r="E51" s="5">
        <f>IF(AND(C51="",D51=""),"",C51+D51)</f>
        <v/>
      </c>
      <c r="F51" s="25" t="n"/>
      <c r="G51" s="25" t="n"/>
      <c r="H51" s="26">
        <f>IF(OR(F51="",F51=0),"",G51/F51)</f>
        <v/>
      </c>
      <c r="I51" s="30">
        <f>IF(OR(E51="",E51=0),"",F51/E51)</f>
        <v/>
      </c>
      <c r="J51" s="5" t="n"/>
      <c r="K51" s="25" t="n"/>
      <c r="L51" s="5" t="n"/>
    </row>
    <row r="52">
      <c r="A52" s="5" t="n"/>
      <c r="B52" s="5">
        <f>IF(A52="","",TEXT(A52,"ddd"))</f>
        <v/>
      </c>
      <c r="C52" s="5" t="n"/>
      <c r="D52" s="5" t="n"/>
      <c r="E52" s="5">
        <f>IF(AND(C52="",D52=""),"",C52+D52)</f>
        <v/>
      </c>
      <c r="F52" s="25" t="n"/>
      <c r="G52" s="25" t="n"/>
      <c r="H52" s="26">
        <f>IF(OR(F52="",F52=0),"",G52/F52)</f>
        <v/>
      </c>
      <c r="I52" s="30">
        <f>IF(OR(E52="",E52=0),"",F52/E52)</f>
        <v/>
      </c>
      <c r="J52" s="5" t="n"/>
      <c r="K52" s="25" t="n"/>
      <c r="L52" s="5" t="n"/>
    </row>
    <row r="53">
      <c r="A53" s="5" t="n"/>
      <c r="B53" s="5">
        <f>IF(A53="","",TEXT(A53,"ddd"))</f>
        <v/>
      </c>
      <c r="C53" s="5" t="n"/>
      <c r="D53" s="5" t="n"/>
      <c r="E53" s="5">
        <f>IF(AND(C53="",D53=""),"",C53+D53)</f>
        <v/>
      </c>
      <c r="F53" s="25" t="n"/>
      <c r="G53" s="25" t="n"/>
      <c r="H53" s="26">
        <f>IF(OR(F53="",F53=0),"",G53/F53)</f>
        <v/>
      </c>
      <c r="I53" s="30">
        <f>IF(OR(E53="",E53=0),"",F53/E53)</f>
        <v/>
      </c>
      <c r="J53" s="5" t="n"/>
      <c r="K53" s="25" t="n"/>
      <c r="L53" s="5" t="n"/>
    </row>
    <row r="54">
      <c r="A54" s="5" t="n"/>
      <c r="B54" s="5">
        <f>IF(A54="","",TEXT(A54,"ddd"))</f>
        <v/>
      </c>
      <c r="C54" s="5" t="n"/>
      <c r="D54" s="5" t="n"/>
      <c r="E54" s="5">
        <f>IF(AND(C54="",D54=""),"",C54+D54)</f>
        <v/>
      </c>
      <c r="F54" s="25" t="n"/>
      <c r="G54" s="25" t="n"/>
      <c r="H54" s="26">
        <f>IF(OR(F54="",F54=0),"",G54/F54)</f>
        <v/>
      </c>
      <c r="I54" s="30">
        <f>IF(OR(E54="",E54=0),"",F54/E54)</f>
        <v/>
      </c>
      <c r="J54" s="5" t="n"/>
      <c r="K54" s="25" t="n"/>
      <c r="L54" s="5" t="n"/>
    </row>
    <row r="55">
      <c r="A55" s="5" t="n"/>
      <c r="B55" s="5">
        <f>IF(A55="","",TEXT(A55,"ddd"))</f>
        <v/>
      </c>
      <c r="C55" s="5" t="n"/>
      <c r="D55" s="5" t="n"/>
      <c r="E55" s="5">
        <f>IF(AND(C55="",D55=""),"",C55+D55)</f>
        <v/>
      </c>
      <c r="F55" s="25" t="n"/>
      <c r="G55" s="25" t="n"/>
      <c r="H55" s="26">
        <f>IF(OR(F55="",F55=0),"",G55/F55)</f>
        <v/>
      </c>
      <c r="I55" s="30">
        <f>IF(OR(E55="",E55=0),"",F55/E55)</f>
        <v/>
      </c>
      <c r="J55" s="5" t="n"/>
      <c r="K55" s="25" t="n"/>
      <c r="L55" s="5" t="n"/>
    </row>
    <row r="56">
      <c r="A56" s="5" t="n"/>
      <c r="B56" s="5">
        <f>IF(A56="","",TEXT(A56,"ddd"))</f>
        <v/>
      </c>
      <c r="C56" s="5" t="n"/>
      <c r="D56" s="5" t="n"/>
      <c r="E56" s="5">
        <f>IF(AND(C56="",D56=""),"",C56+D56)</f>
        <v/>
      </c>
      <c r="F56" s="25" t="n"/>
      <c r="G56" s="25" t="n"/>
      <c r="H56" s="26">
        <f>IF(OR(F56="",F56=0),"",G56/F56)</f>
        <v/>
      </c>
      <c r="I56" s="30">
        <f>IF(OR(E56="",E56=0),"",F56/E56)</f>
        <v/>
      </c>
      <c r="J56" s="5" t="n"/>
      <c r="K56" s="25" t="n"/>
      <c r="L56" s="5" t="n"/>
    </row>
    <row r="57">
      <c r="A57" s="5" t="n"/>
      <c r="B57" s="5">
        <f>IF(A57="","",TEXT(A57,"ddd"))</f>
        <v/>
      </c>
      <c r="C57" s="5" t="n"/>
      <c r="D57" s="5" t="n"/>
      <c r="E57" s="5">
        <f>IF(AND(C57="",D57=""),"",C57+D57)</f>
        <v/>
      </c>
      <c r="F57" s="25" t="n"/>
      <c r="G57" s="25" t="n"/>
      <c r="H57" s="26">
        <f>IF(OR(F57="",F57=0),"",G57/F57)</f>
        <v/>
      </c>
      <c r="I57" s="30">
        <f>IF(OR(E57="",E57=0),"",F57/E57)</f>
        <v/>
      </c>
      <c r="J57" s="5" t="n"/>
      <c r="K57" s="25" t="n"/>
      <c r="L57" s="5" t="n"/>
    </row>
    <row r="58">
      <c r="A58" s="5" t="n"/>
      <c r="B58" s="5">
        <f>IF(A58="","",TEXT(A58,"ddd"))</f>
        <v/>
      </c>
      <c r="C58" s="5" t="n"/>
      <c r="D58" s="5" t="n"/>
      <c r="E58" s="5">
        <f>IF(AND(C58="",D58=""),"",C58+D58)</f>
        <v/>
      </c>
      <c r="F58" s="25" t="n"/>
      <c r="G58" s="25" t="n"/>
      <c r="H58" s="26">
        <f>IF(OR(F58="",F58=0),"",G58/F58)</f>
        <v/>
      </c>
      <c r="I58" s="30">
        <f>IF(OR(E58="",E58=0),"",F58/E58)</f>
        <v/>
      </c>
      <c r="J58" s="5" t="n"/>
      <c r="K58" s="25" t="n"/>
      <c r="L58" s="5" t="n"/>
    </row>
    <row r="59">
      <c r="A59" s="5" t="n"/>
      <c r="B59" s="5">
        <f>IF(A59="","",TEXT(A59,"ddd"))</f>
        <v/>
      </c>
      <c r="C59" s="5" t="n"/>
      <c r="D59" s="5" t="n"/>
      <c r="E59" s="5">
        <f>IF(AND(C59="",D59=""),"",C59+D59)</f>
        <v/>
      </c>
      <c r="F59" s="25" t="n"/>
      <c r="G59" s="25" t="n"/>
      <c r="H59" s="26">
        <f>IF(OR(F59="",F59=0),"",G59/F59)</f>
        <v/>
      </c>
      <c r="I59" s="30">
        <f>IF(OR(E59="",E59=0),"",F59/E59)</f>
        <v/>
      </c>
      <c r="J59" s="5" t="n"/>
      <c r="K59" s="25" t="n"/>
      <c r="L59" s="5" t="n"/>
    </row>
    <row r="60">
      <c r="A60" s="5" t="n"/>
      <c r="B60" s="5">
        <f>IF(A60="","",TEXT(A60,"ddd"))</f>
        <v/>
      </c>
      <c r="C60" s="5" t="n"/>
      <c r="D60" s="5" t="n"/>
      <c r="E60" s="5">
        <f>IF(AND(C60="",D60=""),"",C60+D60)</f>
        <v/>
      </c>
      <c r="F60" s="25" t="n"/>
      <c r="G60" s="25" t="n"/>
      <c r="H60" s="26">
        <f>IF(OR(F60="",F60=0),"",G60/F60)</f>
        <v/>
      </c>
      <c r="I60" s="30">
        <f>IF(OR(E60="",E60=0),"",F60/E60)</f>
        <v/>
      </c>
      <c r="J60" s="5" t="n"/>
      <c r="K60" s="25" t="n"/>
      <c r="L60" s="5" t="n"/>
    </row>
    <row r="61">
      <c r="A61" s="5" t="n"/>
      <c r="B61" s="5">
        <f>IF(A61="","",TEXT(A61,"ddd"))</f>
        <v/>
      </c>
      <c r="C61" s="5" t="n"/>
      <c r="D61" s="5" t="n"/>
      <c r="E61" s="5">
        <f>IF(AND(C61="",D61=""),"",C61+D61)</f>
        <v/>
      </c>
      <c r="F61" s="25" t="n"/>
      <c r="G61" s="25" t="n"/>
      <c r="H61" s="26">
        <f>IF(OR(F61="",F61=0),"",G61/F61)</f>
        <v/>
      </c>
      <c r="I61" s="30">
        <f>IF(OR(E61="",E61=0),"",F61/E61)</f>
        <v/>
      </c>
      <c r="J61" s="5" t="n"/>
      <c r="K61" s="25" t="n"/>
      <c r="L61" s="5" t="n"/>
    </row>
    <row r="62">
      <c r="A62" s="5" t="n"/>
      <c r="B62" s="5">
        <f>IF(A62="","",TEXT(A62,"ddd"))</f>
        <v/>
      </c>
      <c r="C62" s="5" t="n"/>
      <c r="D62" s="5" t="n"/>
      <c r="E62" s="5">
        <f>IF(AND(C62="",D62=""),"",C62+D62)</f>
        <v/>
      </c>
      <c r="F62" s="25" t="n"/>
      <c r="G62" s="25" t="n"/>
      <c r="H62" s="26">
        <f>IF(OR(F62="",F62=0),"",G62/F62)</f>
        <v/>
      </c>
      <c r="I62" s="30">
        <f>IF(OR(E62="",E62=0),"",F62/E62)</f>
        <v/>
      </c>
      <c r="J62" s="5" t="n"/>
      <c r="K62" s="25" t="n"/>
      <c r="L62" s="5" t="n"/>
    </row>
    <row r="63">
      <c r="A63" s="5" t="n"/>
      <c r="B63" s="5">
        <f>IF(A63="","",TEXT(A63,"ddd"))</f>
        <v/>
      </c>
      <c r="C63" s="5" t="n"/>
      <c r="D63" s="5" t="n"/>
      <c r="E63" s="5">
        <f>IF(AND(C63="",D63=""),"",C63+D63)</f>
        <v/>
      </c>
      <c r="F63" s="25" t="n"/>
      <c r="G63" s="25" t="n"/>
      <c r="H63" s="26">
        <f>IF(OR(F63="",F63=0),"",G63/F63)</f>
        <v/>
      </c>
      <c r="I63" s="30">
        <f>IF(OR(E63="",E63=0),"",F63/E63)</f>
        <v/>
      </c>
      <c r="J63" s="5" t="n"/>
      <c r="K63" s="25" t="n"/>
      <c r="L63" s="5" t="n"/>
    </row>
    <row r="64">
      <c r="A64" s="5" t="n"/>
      <c r="B64" s="5">
        <f>IF(A64="","",TEXT(A64,"ddd"))</f>
        <v/>
      </c>
      <c r="C64" s="5" t="n"/>
      <c r="D64" s="5" t="n"/>
      <c r="E64" s="5">
        <f>IF(AND(C64="",D64=""),"",C64+D64)</f>
        <v/>
      </c>
      <c r="F64" s="25" t="n"/>
      <c r="G64" s="25" t="n"/>
      <c r="H64" s="26">
        <f>IF(OR(F64="",F64=0),"",G64/F64)</f>
        <v/>
      </c>
      <c r="I64" s="30">
        <f>IF(OR(E64="",E64=0),"",F64/E64)</f>
        <v/>
      </c>
      <c r="J64" s="5" t="n"/>
      <c r="K64" s="25" t="n"/>
      <c r="L64" s="5" t="n"/>
    </row>
    <row r="65">
      <c r="A65" s="5" t="n"/>
      <c r="B65" s="5">
        <f>IF(A65="","",TEXT(A65,"ddd"))</f>
        <v/>
      </c>
      <c r="C65" s="5" t="n"/>
      <c r="D65" s="5" t="n"/>
      <c r="E65" s="5">
        <f>IF(AND(C65="",D65=""),"",C65+D65)</f>
        <v/>
      </c>
      <c r="F65" s="25" t="n"/>
      <c r="G65" s="25" t="n"/>
      <c r="H65" s="26">
        <f>IF(OR(F65="",F65=0),"",G65/F65)</f>
        <v/>
      </c>
      <c r="I65" s="30">
        <f>IF(OR(E65="",E65=0),"",F65/E65)</f>
        <v/>
      </c>
      <c r="J65" s="5" t="n"/>
      <c r="K65" s="25" t="n"/>
      <c r="L65" s="5" t="n"/>
    </row>
    <row r="66">
      <c r="A66" s="5" t="n"/>
      <c r="B66" s="5">
        <f>IF(A66="","",TEXT(A66,"ddd"))</f>
        <v/>
      </c>
      <c r="C66" s="5" t="n"/>
      <c r="D66" s="5" t="n"/>
      <c r="E66" s="5">
        <f>IF(AND(C66="",D66=""),"",C66+D66)</f>
        <v/>
      </c>
      <c r="F66" s="25" t="n"/>
      <c r="G66" s="25" t="n"/>
      <c r="H66" s="26">
        <f>IF(OR(F66="",F66=0),"",G66/F66)</f>
        <v/>
      </c>
      <c r="I66" s="30">
        <f>IF(OR(E66="",E66=0),"",F66/E66)</f>
        <v/>
      </c>
      <c r="J66" s="5" t="n"/>
      <c r="K66" s="25" t="n"/>
      <c r="L66" s="5" t="n"/>
    </row>
    <row r="67">
      <c r="A67" s="5" t="n"/>
      <c r="B67" s="5">
        <f>IF(A67="","",TEXT(A67,"ddd"))</f>
        <v/>
      </c>
      <c r="C67" s="5" t="n"/>
      <c r="D67" s="5" t="n"/>
      <c r="E67" s="5">
        <f>IF(AND(C67="",D67=""),"",C67+D67)</f>
        <v/>
      </c>
      <c r="F67" s="25" t="n"/>
      <c r="G67" s="25" t="n"/>
      <c r="H67" s="26">
        <f>IF(OR(F67="",F67=0),"",G67/F67)</f>
        <v/>
      </c>
      <c r="I67" s="30">
        <f>IF(OR(E67="",E67=0),"",F67/E67)</f>
        <v/>
      </c>
      <c r="J67" s="5" t="n"/>
      <c r="K67" s="25" t="n"/>
      <c r="L67" s="5" t="n"/>
    </row>
    <row r="68">
      <c r="A68" s="5" t="n"/>
      <c r="B68" s="5">
        <f>IF(A68="","",TEXT(A68,"ddd"))</f>
        <v/>
      </c>
      <c r="C68" s="5" t="n"/>
      <c r="D68" s="5" t="n"/>
      <c r="E68" s="5">
        <f>IF(AND(C68="",D68=""),"",C68+D68)</f>
        <v/>
      </c>
      <c r="F68" s="25" t="n"/>
      <c r="G68" s="25" t="n"/>
      <c r="H68" s="26">
        <f>IF(OR(F68="",F68=0),"",G68/F68)</f>
        <v/>
      </c>
      <c r="I68" s="30">
        <f>IF(OR(E68="",E68=0),"",F68/E68)</f>
        <v/>
      </c>
      <c r="J68" s="5" t="n"/>
      <c r="K68" s="25" t="n"/>
      <c r="L68" s="5" t="n"/>
    </row>
    <row r="69">
      <c r="A69" s="5" t="n"/>
      <c r="B69" s="5">
        <f>IF(A69="","",TEXT(A69,"ddd"))</f>
        <v/>
      </c>
      <c r="C69" s="5" t="n"/>
      <c r="D69" s="5" t="n"/>
      <c r="E69" s="5">
        <f>IF(AND(C69="",D69=""),"",C69+D69)</f>
        <v/>
      </c>
      <c r="F69" s="25" t="n"/>
      <c r="G69" s="25" t="n"/>
      <c r="H69" s="26">
        <f>IF(OR(F69="",F69=0),"",G69/F69)</f>
        <v/>
      </c>
      <c r="I69" s="30">
        <f>IF(OR(E69="",E69=0),"",F69/E69)</f>
        <v/>
      </c>
      <c r="J69" s="5" t="n"/>
      <c r="K69" s="25" t="n"/>
      <c r="L69" s="5" t="n"/>
    </row>
    <row r="70">
      <c r="A70" s="5" t="n"/>
      <c r="B70" s="5">
        <f>IF(A70="","",TEXT(A70,"ddd"))</f>
        <v/>
      </c>
      <c r="C70" s="5" t="n"/>
      <c r="D70" s="5" t="n"/>
      <c r="E70" s="5">
        <f>IF(AND(C70="",D70=""),"",C70+D70)</f>
        <v/>
      </c>
      <c r="F70" s="25" t="n"/>
      <c r="G70" s="25" t="n"/>
      <c r="H70" s="26">
        <f>IF(OR(F70="",F70=0),"",G70/F70)</f>
        <v/>
      </c>
      <c r="I70" s="30">
        <f>IF(OR(E70="",E70=0),"",F70/E70)</f>
        <v/>
      </c>
      <c r="J70" s="5" t="n"/>
      <c r="K70" s="25" t="n"/>
      <c r="L70" s="5" t="n"/>
    </row>
    <row r="71">
      <c r="A71" s="5" t="n"/>
      <c r="B71" s="5">
        <f>IF(A71="","",TEXT(A71,"ddd"))</f>
        <v/>
      </c>
      <c r="C71" s="5" t="n"/>
      <c r="D71" s="5" t="n"/>
      <c r="E71" s="5">
        <f>IF(AND(C71="",D71=""),"",C71+D71)</f>
        <v/>
      </c>
      <c r="F71" s="25" t="n"/>
      <c r="G71" s="25" t="n"/>
      <c r="H71" s="26">
        <f>IF(OR(F71="",F71=0),"",G71/F71)</f>
        <v/>
      </c>
      <c r="I71" s="30">
        <f>IF(OR(E71="",E71=0),"",F71/E71)</f>
        <v/>
      </c>
      <c r="J71" s="5" t="n"/>
      <c r="K71" s="25" t="n"/>
      <c r="L71" s="5" t="n"/>
    </row>
    <row r="72">
      <c r="A72" s="5" t="n"/>
      <c r="B72" s="5">
        <f>IF(A72="","",TEXT(A72,"ddd"))</f>
        <v/>
      </c>
      <c r="C72" s="5" t="n"/>
      <c r="D72" s="5" t="n"/>
      <c r="E72" s="5">
        <f>IF(AND(C72="",D72=""),"",C72+D72)</f>
        <v/>
      </c>
      <c r="F72" s="25" t="n"/>
      <c r="G72" s="25" t="n"/>
      <c r="H72" s="26">
        <f>IF(OR(F72="",F72=0),"",G72/F72)</f>
        <v/>
      </c>
      <c r="I72" s="30">
        <f>IF(OR(E72="",E72=0),"",F72/E72)</f>
        <v/>
      </c>
      <c r="J72" s="5" t="n"/>
      <c r="K72" s="25" t="n"/>
      <c r="L72" s="5" t="n"/>
    </row>
    <row r="73">
      <c r="A73" s="5" t="n"/>
      <c r="B73" s="5">
        <f>IF(A73="","",TEXT(A73,"ddd"))</f>
        <v/>
      </c>
      <c r="C73" s="5" t="n"/>
      <c r="D73" s="5" t="n"/>
      <c r="E73" s="5">
        <f>IF(AND(C73="",D73=""),"",C73+D73)</f>
        <v/>
      </c>
      <c r="F73" s="25" t="n"/>
      <c r="G73" s="25" t="n"/>
      <c r="H73" s="26">
        <f>IF(OR(F73="",F73=0),"",G73/F73)</f>
        <v/>
      </c>
      <c r="I73" s="30">
        <f>IF(OR(E73="",E73=0),"",F73/E73)</f>
        <v/>
      </c>
      <c r="J73" s="5" t="n"/>
      <c r="K73" s="25" t="n"/>
      <c r="L73" s="5" t="n"/>
    </row>
    <row r="74">
      <c r="A74" s="5" t="n"/>
      <c r="B74" s="5">
        <f>IF(A74="","",TEXT(A74,"ddd"))</f>
        <v/>
      </c>
      <c r="C74" s="5" t="n"/>
      <c r="D74" s="5" t="n"/>
      <c r="E74" s="5">
        <f>IF(AND(C74="",D74=""),"",C74+D74)</f>
        <v/>
      </c>
      <c r="F74" s="25" t="n"/>
      <c r="G74" s="25" t="n"/>
      <c r="H74" s="26">
        <f>IF(OR(F74="",F74=0),"",G74/F74)</f>
        <v/>
      </c>
      <c r="I74" s="30">
        <f>IF(OR(E74="",E74=0),"",F74/E74)</f>
        <v/>
      </c>
      <c r="J74" s="5" t="n"/>
      <c r="K74" s="25" t="n"/>
      <c r="L74" s="5" t="n"/>
    </row>
    <row r="75">
      <c r="A75" s="5" t="n"/>
      <c r="B75" s="5">
        <f>IF(A75="","",TEXT(A75,"ddd"))</f>
        <v/>
      </c>
      <c r="C75" s="5" t="n"/>
      <c r="D75" s="5" t="n"/>
      <c r="E75" s="5">
        <f>IF(AND(C75="",D75=""),"",C75+D75)</f>
        <v/>
      </c>
      <c r="F75" s="25" t="n"/>
      <c r="G75" s="25" t="n"/>
      <c r="H75" s="26">
        <f>IF(OR(F75="",F75=0),"",G75/F75)</f>
        <v/>
      </c>
      <c r="I75" s="30">
        <f>IF(OR(E75="",E75=0),"",F75/E75)</f>
        <v/>
      </c>
      <c r="J75" s="5" t="n"/>
      <c r="K75" s="25" t="n"/>
      <c r="L75" s="5" t="n"/>
    </row>
    <row r="76">
      <c r="A76" s="5" t="n"/>
      <c r="B76" s="5">
        <f>IF(A76="","",TEXT(A76,"ddd"))</f>
        <v/>
      </c>
      <c r="C76" s="5" t="n"/>
      <c r="D76" s="5" t="n"/>
      <c r="E76" s="5">
        <f>IF(AND(C76="",D76=""),"",C76+D76)</f>
        <v/>
      </c>
      <c r="F76" s="25" t="n"/>
      <c r="G76" s="25" t="n"/>
      <c r="H76" s="26">
        <f>IF(OR(F76="",F76=0),"",G76/F76)</f>
        <v/>
      </c>
      <c r="I76" s="30">
        <f>IF(OR(E76="",E76=0),"",F76/E76)</f>
        <v/>
      </c>
      <c r="J76" s="5" t="n"/>
      <c r="K76" s="25" t="n"/>
      <c r="L76" s="5" t="n"/>
    </row>
    <row r="77">
      <c r="A77" s="5" t="n"/>
      <c r="B77" s="5">
        <f>IF(A77="","",TEXT(A77,"ddd"))</f>
        <v/>
      </c>
      <c r="C77" s="5" t="n"/>
      <c r="D77" s="5" t="n"/>
      <c r="E77" s="5">
        <f>IF(AND(C77="",D77=""),"",C77+D77)</f>
        <v/>
      </c>
      <c r="F77" s="25" t="n"/>
      <c r="G77" s="25" t="n"/>
      <c r="H77" s="26">
        <f>IF(OR(F77="",F77=0),"",G77/F77)</f>
        <v/>
      </c>
      <c r="I77" s="30">
        <f>IF(OR(E77="",E77=0),"",F77/E77)</f>
        <v/>
      </c>
      <c r="J77" s="5" t="n"/>
      <c r="K77" s="25" t="n"/>
      <c r="L77" s="5" t="n"/>
    </row>
    <row r="78">
      <c r="A78" s="5" t="n"/>
      <c r="B78" s="5">
        <f>IF(A78="","",TEXT(A78,"ddd"))</f>
        <v/>
      </c>
      <c r="C78" s="5" t="n"/>
      <c r="D78" s="5" t="n"/>
      <c r="E78" s="5">
        <f>IF(AND(C78="",D78=""),"",C78+D78)</f>
        <v/>
      </c>
      <c r="F78" s="25" t="n"/>
      <c r="G78" s="25" t="n"/>
      <c r="H78" s="26">
        <f>IF(OR(F78="",F78=0),"",G78/F78)</f>
        <v/>
      </c>
      <c r="I78" s="30">
        <f>IF(OR(E78="",E78=0),"",F78/E78)</f>
        <v/>
      </c>
      <c r="J78" s="5" t="n"/>
      <c r="K78" s="25" t="n"/>
      <c r="L78" s="5" t="n"/>
    </row>
    <row r="79">
      <c r="A79" s="5" t="n"/>
      <c r="B79" s="5">
        <f>IF(A79="","",TEXT(A79,"ddd"))</f>
        <v/>
      </c>
      <c r="C79" s="5" t="n"/>
      <c r="D79" s="5" t="n"/>
      <c r="E79" s="5">
        <f>IF(AND(C79="",D79=""),"",C79+D79)</f>
        <v/>
      </c>
      <c r="F79" s="25" t="n"/>
      <c r="G79" s="25" t="n"/>
      <c r="H79" s="26">
        <f>IF(OR(F79="",F79=0),"",G79/F79)</f>
        <v/>
      </c>
      <c r="I79" s="30">
        <f>IF(OR(E79="",E79=0),"",F79/E79)</f>
        <v/>
      </c>
      <c r="J79" s="5" t="n"/>
      <c r="K79" s="25" t="n"/>
      <c r="L79" s="5" t="n"/>
    </row>
    <row r="80">
      <c r="A80" s="5" t="n"/>
      <c r="B80" s="5">
        <f>IF(A80="","",TEXT(A80,"ddd"))</f>
        <v/>
      </c>
      <c r="C80" s="5" t="n"/>
      <c r="D80" s="5" t="n"/>
      <c r="E80" s="5">
        <f>IF(AND(C80="",D80=""),"",C80+D80)</f>
        <v/>
      </c>
      <c r="F80" s="25" t="n"/>
      <c r="G80" s="25" t="n"/>
      <c r="H80" s="26">
        <f>IF(OR(F80="",F80=0),"",G80/F80)</f>
        <v/>
      </c>
      <c r="I80" s="30">
        <f>IF(OR(E80="",E80=0),"",F80/E80)</f>
        <v/>
      </c>
      <c r="J80" s="5" t="n"/>
      <c r="K80" s="25" t="n"/>
      <c r="L80" s="5" t="n"/>
    </row>
    <row r="81">
      <c r="A81" s="5" t="n"/>
      <c r="B81" s="5">
        <f>IF(A81="","",TEXT(A81,"ddd"))</f>
        <v/>
      </c>
      <c r="C81" s="5" t="n"/>
      <c r="D81" s="5" t="n"/>
      <c r="E81" s="5">
        <f>IF(AND(C81="",D81=""),"",C81+D81)</f>
        <v/>
      </c>
      <c r="F81" s="25" t="n"/>
      <c r="G81" s="25" t="n"/>
      <c r="H81" s="26">
        <f>IF(OR(F81="",F81=0),"",G81/F81)</f>
        <v/>
      </c>
      <c r="I81" s="30">
        <f>IF(OR(E81="",E81=0),"",F81/E81)</f>
        <v/>
      </c>
      <c r="J81" s="5" t="n"/>
      <c r="K81" s="25" t="n"/>
      <c r="L81" s="5" t="n"/>
    </row>
    <row r="82">
      <c r="A82" s="5" t="n"/>
      <c r="B82" s="5">
        <f>IF(A82="","",TEXT(A82,"ddd"))</f>
        <v/>
      </c>
      <c r="C82" s="5" t="n"/>
      <c r="D82" s="5" t="n"/>
      <c r="E82" s="5">
        <f>IF(AND(C82="",D82=""),"",C82+D82)</f>
        <v/>
      </c>
      <c r="F82" s="25" t="n"/>
      <c r="G82" s="25" t="n"/>
      <c r="H82" s="26">
        <f>IF(OR(F82="",F82=0),"",G82/F82)</f>
        <v/>
      </c>
      <c r="I82" s="30">
        <f>IF(OR(E82="",E82=0),"",F82/E82)</f>
        <v/>
      </c>
      <c r="J82" s="5" t="n"/>
      <c r="K82" s="25" t="n"/>
      <c r="L82" s="5" t="n"/>
    </row>
    <row r="83">
      <c r="A83" s="5" t="n"/>
      <c r="B83" s="5">
        <f>IF(A83="","",TEXT(A83,"ddd"))</f>
        <v/>
      </c>
      <c r="C83" s="5" t="n"/>
      <c r="D83" s="5" t="n"/>
      <c r="E83" s="5">
        <f>IF(AND(C83="",D83=""),"",C83+D83)</f>
        <v/>
      </c>
      <c r="F83" s="25" t="n"/>
      <c r="G83" s="25" t="n"/>
      <c r="H83" s="26">
        <f>IF(OR(F83="",F83=0),"",G83/F83)</f>
        <v/>
      </c>
      <c r="I83" s="30">
        <f>IF(OR(E83="",E83=0),"",F83/E83)</f>
        <v/>
      </c>
      <c r="J83" s="5" t="n"/>
      <c r="K83" s="25" t="n"/>
      <c r="L83" s="5" t="n"/>
    </row>
    <row r="84">
      <c r="A84" s="5" t="n"/>
      <c r="B84" s="5">
        <f>IF(A84="","",TEXT(A84,"ddd"))</f>
        <v/>
      </c>
      <c r="C84" s="5" t="n"/>
      <c r="D84" s="5" t="n"/>
      <c r="E84" s="5">
        <f>IF(AND(C84="",D84=""),"",C84+D84)</f>
        <v/>
      </c>
      <c r="F84" s="25" t="n"/>
      <c r="G84" s="25" t="n"/>
      <c r="H84" s="26">
        <f>IF(OR(F84="",F84=0),"",G84/F84)</f>
        <v/>
      </c>
      <c r="I84" s="30">
        <f>IF(OR(E84="",E84=0),"",F84/E84)</f>
        <v/>
      </c>
      <c r="J84" s="5" t="n"/>
      <c r="K84" s="25" t="n"/>
      <c r="L84" s="5" t="n"/>
    </row>
    <row r="85">
      <c r="A85" s="5" t="n"/>
      <c r="B85" s="5">
        <f>IF(A85="","",TEXT(A85,"ddd"))</f>
        <v/>
      </c>
      <c r="C85" s="5" t="n"/>
      <c r="D85" s="5" t="n"/>
      <c r="E85" s="5">
        <f>IF(AND(C85="",D85=""),"",C85+D85)</f>
        <v/>
      </c>
      <c r="F85" s="25" t="n"/>
      <c r="G85" s="25" t="n"/>
      <c r="H85" s="26">
        <f>IF(OR(F85="",F85=0),"",G85/F85)</f>
        <v/>
      </c>
      <c r="I85" s="30">
        <f>IF(OR(E85="",E85=0),"",F85/E85)</f>
        <v/>
      </c>
      <c r="J85" s="5" t="n"/>
      <c r="K85" s="25" t="n"/>
      <c r="L85" s="5" t="n"/>
    </row>
    <row r="86">
      <c r="A86" s="5" t="n"/>
      <c r="B86" s="5">
        <f>IF(A86="","",TEXT(A86,"ddd"))</f>
        <v/>
      </c>
      <c r="C86" s="5" t="n"/>
      <c r="D86" s="5" t="n"/>
      <c r="E86" s="5">
        <f>IF(AND(C86="",D86=""),"",C86+D86)</f>
        <v/>
      </c>
      <c r="F86" s="25" t="n"/>
      <c r="G86" s="25" t="n"/>
      <c r="H86" s="26">
        <f>IF(OR(F86="",F86=0),"",G86/F86)</f>
        <v/>
      </c>
      <c r="I86" s="30">
        <f>IF(OR(E86="",E86=0),"",F86/E86)</f>
        <v/>
      </c>
      <c r="J86" s="5" t="n"/>
      <c r="K86" s="25" t="n"/>
      <c r="L86" s="5" t="n"/>
    </row>
    <row r="87">
      <c r="A87" s="5" t="n"/>
      <c r="B87" s="5">
        <f>IF(A87="","",TEXT(A87,"ddd"))</f>
        <v/>
      </c>
      <c r="C87" s="5" t="n"/>
      <c r="D87" s="5" t="n"/>
      <c r="E87" s="5">
        <f>IF(AND(C87="",D87=""),"",C87+D87)</f>
        <v/>
      </c>
      <c r="F87" s="25" t="n"/>
      <c r="G87" s="25" t="n"/>
      <c r="H87" s="26">
        <f>IF(OR(F87="",F87=0),"",G87/F87)</f>
        <v/>
      </c>
      <c r="I87" s="30">
        <f>IF(OR(E87="",E87=0),"",F87/E87)</f>
        <v/>
      </c>
      <c r="J87" s="5" t="n"/>
      <c r="K87" s="25" t="n"/>
      <c r="L87" s="5" t="n"/>
    </row>
    <row r="88">
      <c r="A88" s="5" t="n"/>
      <c r="B88" s="5">
        <f>IF(A88="","",TEXT(A88,"ddd"))</f>
        <v/>
      </c>
      <c r="C88" s="5" t="n"/>
      <c r="D88" s="5" t="n"/>
      <c r="E88" s="5">
        <f>IF(AND(C88="",D88=""),"",C88+D88)</f>
        <v/>
      </c>
      <c r="F88" s="25" t="n"/>
      <c r="G88" s="25" t="n"/>
      <c r="H88" s="26">
        <f>IF(OR(F88="",F88=0),"",G88/F88)</f>
        <v/>
      </c>
      <c r="I88" s="30">
        <f>IF(OR(E88="",E88=0),"",F88/E88)</f>
        <v/>
      </c>
      <c r="J88" s="5" t="n"/>
      <c r="K88" s="25" t="n"/>
      <c r="L88" s="5" t="n"/>
    </row>
    <row r="89">
      <c r="A89" s="5" t="n"/>
      <c r="B89" s="5">
        <f>IF(A89="","",TEXT(A89,"ddd"))</f>
        <v/>
      </c>
      <c r="C89" s="5" t="n"/>
      <c r="D89" s="5" t="n"/>
      <c r="E89" s="5">
        <f>IF(AND(C89="",D89=""),"",C89+D89)</f>
        <v/>
      </c>
      <c r="F89" s="25" t="n"/>
      <c r="G89" s="25" t="n"/>
      <c r="H89" s="26">
        <f>IF(OR(F89="",F89=0),"",G89/F89)</f>
        <v/>
      </c>
      <c r="I89" s="30">
        <f>IF(OR(E89="",E89=0),"",F89/E89)</f>
        <v/>
      </c>
      <c r="J89" s="5" t="n"/>
      <c r="K89" s="25" t="n"/>
      <c r="L89" s="5" t="n"/>
    </row>
    <row r="90">
      <c r="A90" s="5" t="n"/>
      <c r="B90" s="5">
        <f>IF(A90="","",TEXT(A90,"ddd"))</f>
        <v/>
      </c>
      <c r="C90" s="5" t="n"/>
      <c r="D90" s="5" t="n"/>
      <c r="E90" s="5">
        <f>IF(AND(C90="",D90=""),"",C90+D90)</f>
        <v/>
      </c>
      <c r="F90" s="25" t="n"/>
      <c r="G90" s="25" t="n"/>
      <c r="H90" s="26">
        <f>IF(OR(F90="",F90=0),"",G90/F90)</f>
        <v/>
      </c>
      <c r="I90" s="30">
        <f>IF(OR(E90="",E90=0),"",F90/E90)</f>
        <v/>
      </c>
      <c r="J90" s="5" t="n"/>
      <c r="K90" s="25" t="n"/>
      <c r="L90" s="5" t="n"/>
    </row>
    <row r="91">
      <c r="A91" s="5" t="n"/>
      <c r="B91" s="5">
        <f>IF(A91="","",TEXT(A91,"ddd"))</f>
        <v/>
      </c>
      <c r="C91" s="5" t="n"/>
      <c r="D91" s="5" t="n"/>
      <c r="E91" s="5">
        <f>IF(AND(C91="",D91=""),"",C91+D91)</f>
        <v/>
      </c>
      <c r="F91" s="25" t="n"/>
      <c r="G91" s="25" t="n"/>
      <c r="H91" s="26">
        <f>IF(OR(F91="",F91=0),"",G91/F91)</f>
        <v/>
      </c>
      <c r="I91" s="30">
        <f>IF(OR(E91="",E91=0),"",F91/E91)</f>
        <v/>
      </c>
      <c r="J91" s="5" t="n"/>
      <c r="K91" s="25" t="n"/>
      <c r="L91" s="5" t="n"/>
    </row>
    <row r="92">
      <c r="A92" s="5" t="n"/>
      <c r="B92" s="5">
        <f>IF(A92="","",TEXT(A92,"ddd"))</f>
        <v/>
      </c>
      <c r="C92" s="5" t="n"/>
      <c r="D92" s="5" t="n"/>
      <c r="E92" s="5">
        <f>IF(AND(C92="",D92=""),"",C92+D92)</f>
        <v/>
      </c>
      <c r="F92" s="25" t="n"/>
      <c r="G92" s="25" t="n"/>
      <c r="H92" s="26">
        <f>IF(OR(F92="",F92=0),"",G92/F92)</f>
        <v/>
      </c>
      <c r="I92" s="30">
        <f>IF(OR(E92="",E92=0),"",F92/E92)</f>
        <v/>
      </c>
      <c r="J92" s="5" t="n"/>
      <c r="K92" s="25" t="n"/>
      <c r="L92" s="5" t="n"/>
    </row>
    <row r="93">
      <c r="A93" s="5" t="n"/>
      <c r="B93" s="5">
        <f>IF(A93="","",TEXT(A93,"ddd"))</f>
        <v/>
      </c>
      <c r="C93" s="5" t="n"/>
      <c r="D93" s="5" t="n"/>
      <c r="E93" s="5">
        <f>IF(AND(C93="",D93=""),"",C93+D93)</f>
        <v/>
      </c>
      <c r="F93" s="25" t="n"/>
      <c r="G93" s="25" t="n"/>
      <c r="H93" s="26">
        <f>IF(OR(F93="",F93=0),"",G93/F93)</f>
        <v/>
      </c>
      <c r="I93" s="30">
        <f>IF(OR(E93="",E93=0),"",F93/E93)</f>
        <v/>
      </c>
      <c r="J93" s="5" t="n"/>
      <c r="K93" s="25" t="n"/>
      <c r="L93" s="5" t="n"/>
    </row>
    <row r="94">
      <c r="A94" s="5" t="n"/>
      <c r="B94" s="5">
        <f>IF(A94="","",TEXT(A94,"ddd"))</f>
        <v/>
      </c>
      <c r="C94" s="5" t="n"/>
      <c r="D94" s="5" t="n"/>
      <c r="E94" s="5">
        <f>IF(AND(C94="",D94=""),"",C94+D94)</f>
        <v/>
      </c>
      <c r="F94" s="25" t="n"/>
      <c r="G94" s="25" t="n"/>
      <c r="H94" s="26">
        <f>IF(OR(F94="",F94=0),"",G94/F94)</f>
        <v/>
      </c>
      <c r="I94" s="30">
        <f>IF(OR(E94="",E94=0),"",F94/E94)</f>
        <v/>
      </c>
      <c r="J94" s="5" t="n"/>
      <c r="K94" s="25" t="n"/>
      <c r="L94" s="5" t="n"/>
    </row>
    <row r="95">
      <c r="A95" s="5" t="n"/>
      <c r="B95" s="5">
        <f>IF(A95="","",TEXT(A95,"ddd"))</f>
        <v/>
      </c>
      <c r="C95" s="5" t="n"/>
      <c r="D95" s="5" t="n"/>
      <c r="E95" s="5">
        <f>IF(AND(C95="",D95=""),"",C95+D95)</f>
        <v/>
      </c>
      <c r="F95" s="25" t="n"/>
      <c r="G95" s="25" t="n"/>
      <c r="H95" s="26">
        <f>IF(OR(F95="",F95=0),"",G95/F95)</f>
        <v/>
      </c>
      <c r="I95" s="30">
        <f>IF(OR(E95="",E95=0),"",F95/E95)</f>
        <v/>
      </c>
      <c r="J95" s="5" t="n"/>
      <c r="K95" s="25" t="n"/>
      <c r="L95" s="5" t="n"/>
    </row>
    <row r="96">
      <c r="A96" s="5" t="n"/>
      <c r="B96" s="5">
        <f>IF(A96="","",TEXT(A96,"ddd"))</f>
        <v/>
      </c>
      <c r="C96" s="5" t="n"/>
      <c r="D96" s="5" t="n"/>
      <c r="E96" s="5">
        <f>IF(AND(C96="",D96=""),"",C96+D96)</f>
        <v/>
      </c>
      <c r="F96" s="25" t="n"/>
      <c r="G96" s="25" t="n"/>
      <c r="H96" s="26">
        <f>IF(OR(F96="",F96=0),"",G96/F96)</f>
        <v/>
      </c>
      <c r="I96" s="30">
        <f>IF(OR(E96="",E96=0),"",F96/E96)</f>
        <v/>
      </c>
      <c r="J96" s="5" t="n"/>
      <c r="K96" s="25" t="n"/>
      <c r="L96" s="5" t="n"/>
    </row>
    <row r="97">
      <c r="A97" s="5" t="n"/>
      <c r="B97" s="5">
        <f>IF(A97="","",TEXT(A97,"ddd"))</f>
        <v/>
      </c>
      <c r="C97" s="5" t="n"/>
      <c r="D97" s="5" t="n"/>
      <c r="E97" s="5">
        <f>IF(AND(C97="",D97=""),"",C97+D97)</f>
        <v/>
      </c>
      <c r="F97" s="25" t="n"/>
      <c r="G97" s="25" t="n"/>
      <c r="H97" s="26">
        <f>IF(OR(F97="",F97=0),"",G97/F97)</f>
        <v/>
      </c>
      <c r="I97" s="30">
        <f>IF(OR(E97="",E97=0),"",F97/E97)</f>
        <v/>
      </c>
      <c r="J97" s="5" t="n"/>
      <c r="K97" s="25" t="n"/>
      <c r="L97" s="5" t="n"/>
    </row>
    <row r="98">
      <c r="A98" s="5" t="n"/>
      <c r="B98" s="5">
        <f>IF(A98="","",TEXT(A98,"ddd"))</f>
        <v/>
      </c>
      <c r="C98" s="5" t="n"/>
      <c r="D98" s="5" t="n"/>
      <c r="E98" s="5">
        <f>IF(AND(C98="",D98=""),"",C98+D98)</f>
        <v/>
      </c>
      <c r="F98" s="25" t="n"/>
      <c r="G98" s="25" t="n"/>
      <c r="H98" s="26">
        <f>IF(OR(F98="",F98=0),"",G98/F98)</f>
        <v/>
      </c>
      <c r="I98" s="30">
        <f>IF(OR(E98="",E98=0),"",F98/E98)</f>
        <v/>
      </c>
      <c r="J98" s="5" t="n"/>
      <c r="K98" s="25" t="n"/>
      <c r="L98" s="5" t="n"/>
    </row>
    <row r="99">
      <c r="A99" s="5" t="n"/>
      <c r="B99" s="5">
        <f>IF(A99="","",TEXT(A99,"ddd"))</f>
        <v/>
      </c>
      <c r="C99" s="5" t="n"/>
      <c r="D99" s="5" t="n"/>
      <c r="E99" s="5">
        <f>IF(AND(C99="",D99=""),"",C99+D99)</f>
        <v/>
      </c>
      <c r="F99" s="25" t="n"/>
      <c r="G99" s="25" t="n"/>
      <c r="H99" s="26">
        <f>IF(OR(F99="",F99=0),"",G99/F99)</f>
        <v/>
      </c>
      <c r="I99" s="30">
        <f>IF(OR(E99="",E99=0),"",F99/E99)</f>
        <v/>
      </c>
      <c r="J99" s="5" t="n"/>
      <c r="K99" s="25" t="n"/>
      <c r="L99" s="5" t="n"/>
    </row>
    <row r="100">
      <c r="A100" s="5" t="n"/>
      <c r="B100" s="5">
        <f>IF(A100="","",TEXT(A100,"ddd"))</f>
        <v/>
      </c>
      <c r="C100" s="5" t="n"/>
      <c r="D100" s="5" t="n"/>
      <c r="E100" s="5">
        <f>IF(AND(C100="",D100=""),"",C100+D100)</f>
        <v/>
      </c>
      <c r="F100" s="25" t="n"/>
      <c r="G100" s="25" t="n"/>
      <c r="H100" s="26">
        <f>IF(OR(F100="",F100=0),"",G100/F100)</f>
        <v/>
      </c>
      <c r="I100" s="30">
        <f>IF(OR(E100="",E100=0),"",F100/E100)</f>
        <v/>
      </c>
      <c r="J100" s="5" t="n"/>
      <c r="K100" s="25" t="n"/>
      <c r="L100" s="5" t="n"/>
    </row>
    <row r="101">
      <c r="A101" s="5" t="n"/>
      <c r="B101" s="5">
        <f>IF(A101="","",TEXT(A101,"ddd"))</f>
        <v/>
      </c>
      <c r="C101" s="5" t="n"/>
      <c r="D101" s="5" t="n"/>
      <c r="E101" s="5">
        <f>IF(AND(C101="",D101=""),"",C101+D101)</f>
        <v/>
      </c>
      <c r="F101" s="25" t="n"/>
      <c r="G101" s="25" t="n"/>
      <c r="H101" s="26">
        <f>IF(OR(F101="",F101=0),"",G101/F101)</f>
        <v/>
      </c>
      <c r="I101" s="30">
        <f>IF(OR(E101="",E101=0),"",F101/E101)</f>
        <v/>
      </c>
      <c r="J101" s="5" t="n"/>
      <c r="K101" s="25" t="n"/>
      <c r="L101" s="5" t="n"/>
    </row>
    <row r="102">
      <c r="A102" s="5" t="n"/>
      <c r="B102" s="5">
        <f>IF(A102="","",TEXT(A102,"ddd"))</f>
        <v/>
      </c>
      <c r="C102" s="5" t="n"/>
      <c r="D102" s="5" t="n"/>
      <c r="E102" s="5">
        <f>IF(AND(C102="",D102=""),"",C102+D102)</f>
        <v/>
      </c>
      <c r="F102" s="25" t="n"/>
      <c r="G102" s="25" t="n"/>
      <c r="H102" s="26">
        <f>IF(OR(F102="",F102=0),"",G102/F102)</f>
        <v/>
      </c>
      <c r="I102" s="30">
        <f>IF(OR(E102="",E102=0),"",F102/E102)</f>
        <v/>
      </c>
      <c r="J102" s="5" t="n"/>
      <c r="K102" s="25" t="n"/>
      <c r="L102" s="5" t="n"/>
    </row>
    <row r="103">
      <c r="A103" s="5" t="n"/>
      <c r="B103" s="5">
        <f>IF(A103="","",TEXT(A103,"ddd"))</f>
        <v/>
      </c>
      <c r="C103" s="5" t="n"/>
      <c r="D103" s="5" t="n"/>
      <c r="E103" s="5">
        <f>IF(AND(C103="",D103=""),"",C103+D103)</f>
        <v/>
      </c>
      <c r="F103" s="25" t="n"/>
      <c r="G103" s="25" t="n"/>
      <c r="H103" s="26">
        <f>IF(OR(F103="",F103=0),"",G103/F103)</f>
        <v/>
      </c>
      <c r="I103" s="30">
        <f>IF(OR(E103="",E103=0),"",F103/E103)</f>
        <v/>
      </c>
      <c r="J103" s="5" t="n"/>
      <c r="K103" s="25" t="n"/>
      <c r="L103" s="5" t="n"/>
    </row>
    <row r="104">
      <c r="A104" s="5" t="n"/>
      <c r="B104" s="5">
        <f>IF(A104="","",TEXT(A104,"ddd"))</f>
        <v/>
      </c>
      <c r="C104" s="5" t="n"/>
      <c r="D104" s="5" t="n"/>
      <c r="E104" s="5">
        <f>IF(AND(C104="",D104=""),"",C104+D104)</f>
        <v/>
      </c>
      <c r="F104" s="25" t="n"/>
      <c r="G104" s="25" t="n"/>
      <c r="H104" s="26">
        <f>IF(OR(F104="",F104=0),"",G104/F104)</f>
        <v/>
      </c>
      <c r="I104" s="30">
        <f>IF(OR(E104="",E104=0),"",F104/E104)</f>
        <v/>
      </c>
      <c r="J104" s="5" t="n"/>
      <c r="K104" s="25" t="n"/>
      <c r="L104" s="5" t="n"/>
    </row>
    <row r="105">
      <c r="A105" s="5" t="n"/>
      <c r="B105" s="5">
        <f>IF(A105="","",TEXT(A105,"ddd"))</f>
        <v/>
      </c>
      <c r="C105" s="5" t="n"/>
      <c r="D105" s="5" t="n"/>
      <c r="E105" s="5">
        <f>IF(AND(C105="",D105=""),"",C105+D105)</f>
        <v/>
      </c>
      <c r="F105" s="25" t="n"/>
      <c r="G105" s="25" t="n"/>
      <c r="H105" s="26">
        <f>IF(OR(F105="",F105=0),"",G105/F105)</f>
        <v/>
      </c>
      <c r="I105" s="30">
        <f>IF(OR(E105="",E105=0),"",F105/E105)</f>
        <v/>
      </c>
      <c r="J105" s="5" t="n"/>
      <c r="K105" s="25" t="n"/>
      <c r="L105" s="5" t="n"/>
    </row>
    <row r="106">
      <c r="A106" s="5" t="n"/>
      <c r="B106" s="5">
        <f>IF(A106="","",TEXT(A106,"ddd"))</f>
        <v/>
      </c>
      <c r="C106" s="5" t="n"/>
      <c r="D106" s="5" t="n"/>
      <c r="E106" s="5">
        <f>IF(AND(C106="",D106=""),"",C106+D106)</f>
        <v/>
      </c>
      <c r="F106" s="25" t="n"/>
      <c r="G106" s="25" t="n"/>
      <c r="H106" s="26">
        <f>IF(OR(F106="",F106=0),"",G106/F106)</f>
        <v/>
      </c>
      <c r="I106" s="30">
        <f>IF(OR(E106="",E106=0),"",F106/E106)</f>
        <v/>
      </c>
      <c r="J106" s="5" t="n"/>
      <c r="K106" s="25" t="n"/>
      <c r="L106" s="5" t="n"/>
    </row>
    <row r="107">
      <c r="A107" s="5" t="n"/>
      <c r="B107" s="5">
        <f>IF(A107="","",TEXT(A107,"ddd"))</f>
        <v/>
      </c>
      <c r="C107" s="5" t="n"/>
      <c r="D107" s="5" t="n"/>
      <c r="E107" s="5">
        <f>IF(AND(C107="",D107=""),"",C107+D107)</f>
        <v/>
      </c>
      <c r="F107" s="25" t="n"/>
      <c r="G107" s="25" t="n"/>
      <c r="H107" s="26">
        <f>IF(OR(F107="",F107=0),"",G107/F107)</f>
        <v/>
      </c>
      <c r="I107" s="30">
        <f>IF(OR(E107="",E107=0),"",F107/E107)</f>
        <v/>
      </c>
      <c r="J107" s="5" t="n"/>
      <c r="K107" s="25" t="n"/>
      <c r="L107" s="5" t="n"/>
    </row>
    <row r="108">
      <c r="A108" s="5" t="n"/>
      <c r="B108" s="5">
        <f>IF(A108="","",TEXT(A108,"ddd"))</f>
        <v/>
      </c>
      <c r="C108" s="5" t="n"/>
      <c r="D108" s="5" t="n"/>
      <c r="E108" s="5">
        <f>IF(AND(C108="",D108=""),"",C108+D108)</f>
        <v/>
      </c>
      <c r="F108" s="25" t="n"/>
      <c r="G108" s="25" t="n"/>
      <c r="H108" s="26">
        <f>IF(OR(F108="",F108=0),"",G108/F108)</f>
        <v/>
      </c>
      <c r="I108" s="30">
        <f>IF(OR(E108="",E108=0),"",F108/E108)</f>
        <v/>
      </c>
      <c r="J108" s="5" t="n"/>
      <c r="K108" s="25" t="n"/>
      <c r="L108" s="5" t="n"/>
    </row>
    <row r="109">
      <c r="A109" s="5" t="n"/>
      <c r="B109" s="5">
        <f>IF(A109="","",TEXT(A109,"ddd"))</f>
        <v/>
      </c>
      <c r="C109" s="5" t="n"/>
      <c r="D109" s="5" t="n"/>
      <c r="E109" s="5">
        <f>IF(AND(C109="",D109=""),"",C109+D109)</f>
        <v/>
      </c>
      <c r="F109" s="25" t="n"/>
      <c r="G109" s="25" t="n"/>
      <c r="H109" s="26">
        <f>IF(OR(F109="",F109=0),"",G109/F109)</f>
        <v/>
      </c>
      <c r="I109" s="30">
        <f>IF(OR(E109="",E109=0),"",F109/E109)</f>
        <v/>
      </c>
      <c r="J109" s="5" t="n"/>
      <c r="K109" s="25" t="n"/>
      <c r="L109" s="5" t="n"/>
    </row>
    <row r="110">
      <c r="A110" s="5" t="n"/>
      <c r="B110" s="5">
        <f>IF(A110="","",TEXT(A110,"ddd"))</f>
        <v/>
      </c>
      <c r="C110" s="5" t="n"/>
      <c r="D110" s="5" t="n"/>
      <c r="E110" s="5">
        <f>IF(AND(C110="",D110=""),"",C110+D110)</f>
        <v/>
      </c>
      <c r="F110" s="25" t="n"/>
      <c r="G110" s="25" t="n"/>
      <c r="H110" s="26">
        <f>IF(OR(F110="",F110=0),"",G110/F110)</f>
        <v/>
      </c>
      <c r="I110" s="30">
        <f>IF(OR(E110="",E110=0),"",F110/E110)</f>
        <v/>
      </c>
      <c r="J110" s="5" t="n"/>
      <c r="K110" s="25" t="n"/>
      <c r="L110" s="5" t="n"/>
    </row>
    <row r="111">
      <c r="A111" s="5" t="n"/>
      <c r="B111" s="5">
        <f>IF(A111="","",TEXT(A111,"ddd"))</f>
        <v/>
      </c>
      <c r="C111" s="5" t="n"/>
      <c r="D111" s="5" t="n"/>
      <c r="E111" s="5">
        <f>IF(AND(C111="",D111=""),"",C111+D111)</f>
        <v/>
      </c>
      <c r="F111" s="25" t="n"/>
      <c r="G111" s="25" t="n"/>
      <c r="H111" s="26">
        <f>IF(OR(F111="",F111=0),"",G111/F111)</f>
        <v/>
      </c>
      <c r="I111" s="30">
        <f>IF(OR(E111="",E111=0),"",F111/E111)</f>
        <v/>
      </c>
      <c r="J111" s="5" t="n"/>
      <c r="K111" s="25" t="n"/>
      <c r="L111" s="5" t="n"/>
    </row>
    <row r="112">
      <c r="A112" s="5" t="n"/>
      <c r="B112" s="5">
        <f>IF(A112="","",TEXT(A112,"ddd"))</f>
        <v/>
      </c>
      <c r="C112" s="5" t="n"/>
      <c r="D112" s="5" t="n"/>
      <c r="E112" s="5">
        <f>IF(AND(C112="",D112=""),"",C112+D112)</f>
        <v/>
      </c>
      <c r="F112" s="25" t="n"/>
      <c r="G112" s="25" t="n"/>
      <c r="H112" s="26">
        <f>IF(OR(F112="",F112=0),"",G112/F112)</f>
        <v/>
      </c>
      <c r="I112" s="30">
        <f>IF(OR(E112="",E112=0),"",F112/E112)</f>
        <v/>
      </c>
      <c r="J112" s="5" t="n"/>
      <c r="K112" s="25" t="n"/>
      <c r="L112" s="5" t="n"/>
    </row>
    <row r="113">
      <c r="A113" s="5" t="n"/>
      <c r="B113" s="5">
        <f>IF(A113="","",TEXT(A113,"ddd"))</f>
        <v/>
      </c>
      <c r="C113" s="5" t="n"/>
      <c r="D113" s="5" t="n"/>
      <c r="E113" s="5">
        <f>IF(AND(C113="",D113=""),"",C113+D113)</f>
        <v/>
      </c>
      <c r="F113" s="25" t="n"/>
      <c r="G113" s="25" t="n"/>
      <c r="H113" s="26">
        <f>IF(OR(F113="",F113=0),"",G113/F113)</f>
        <v/>
      </c>
      <c r="I113" s="30">
        <f>IF(OR(E113="",E113=0),"",F113/E113)</f>
        <v/>
      </c>
      <c r="J113" s="5" t="n"/>
      <c r="K113" s="25" t="n"/>
      <c r="L113" s="5" t="n"/>
    </row>
    <row r="114">
      <c r="A114" s="5" t="n"/>
      <c r="B114" s="5">
        <f>IF(A114="","",TEXT(A114,"ddd"))</f>
        <v/>
      </c>
      <c r="C114" s="5" t="n"/>
      <c r="D114" s="5" t="n"/>
      <c r="E114" s="5">
        <f>IF(AND(C114="",D114=""),"",C114+D114)</f>
        <v/>
      </c>
      <c r="F114" s="25" t="n"/>
      <c r="G114" s="25" t="n"/>
      <c r="H114" s="26">
        <f>IF(OR(F114="",F114=0),"",G114/F114)</f>
        <v/>
      </c>
      <c r="I114" s="30">
        <f>IF(OR(E114="",E114=0),"",F114/E114)</f>
        <v/>
      </c>
      <c r="J114" s="5" t="n"/>
      <c r="K114" s="25" t="n"/>
      <c r="L114" s="5" t="n"/>
    </row>
    <row r="115">
      <c r="A115" s="5" t="n"/>
      <c r="B115" s="5">
        <f>IF(A115="","",TEXT(A115,"ddd"))</f>
        <v/>
      </c>
      <c r="C115" s="5" t="n"/>
      <c r="D115" s="5" t="n"/>
      <c r="E115" s="5">
        <f>IF(AND(C115="",D115=""),"",C115+D115)</f>
        <v/>
      </c>
      <c r="F115" s="25" t="n"/>
      <c r="G115" s="25" t="n"/>
      <c r="H115" s="26">
        <f>IF(OR(F115="",F115=0),"",G115/F115)</f>
        <v/>
      </c>
      <c r="I115" s="30">
        <f>IF(OR(E115="",E115=0),"",F115/E115)</f>
        <v/>
      </c>
      <c r="J115" s="5" t="n"/>
      <c r="K115" s="25" t="n"/>
      <c r="L115" s="5" t="n"/>
    </row>
    <row r="116">
      <c r="A116" s="5" t="n"/>
      <c r="B116" s="5">
        <f>IF(A116="","",TEXT(A116,"ddd"))</f>
        <v/>
      </c>
      <c r="C116" s="5" t="n"/>
      <c r="D116" s="5" t="n"/>
      <c r="E116" s="5">
        <f>IF(AND(C116="",D116=""),"",C116+D116)</f>
        <v/>
      </c>
      <c r="F116" s="25" t="n"/>
      <c r="G116" s="25" t="n"/>
      <c r="H116" s="26">
        <f>IF(OR(F116="",F116=0),"",G116/F116)</f>
        <v/>
      </c>
      <c r="I116" s="30">
        <f>IF(OR(E116="",E116=0),"",F116/E116)</f>
        <v/>
      </c>
      <c r="J116" s="5" t="n"/>
      <c r="K116" s="25" t="n"/>
      <c r="L116" s="5" t="n"/>
    </row>
    <row r="117">
      <c r="A117" s="5" t="n"/>
      <c r="B117" s="5">
        <f>IF(A117="","",TEXT(A117,"ddd"))</f>
        <v/>
      </c>
      <c r="C117" s="5" t="n"/>
      <c r="D117" s="5" t="n"/>
      <c r="E117" s="5">
        <f>IF(AND(C117="",D117=""),"",C117+D117)</f>
        <v/>
      </c>
      <c r="F117" s="25" t="n"/>
      <c r="G117" s="25" t="n"/>
      <c r="H117" s="26">
        <f>IF(OR(F117="",F117=0),"",G117/F117)</f>
        <v/>
      </c>
      <c r="I117" s="30">
        <f>IF(OR(E117="",E117=0),"",F117/E117)</f>
        <v/>
      </c>
      <c r="J117" s="5" t="n"/>
      <c r="K117" s="25" t="n"/>
      <c r="L117" s="5" t="n"/>
    </row>
    <row r="118">
      <c r="A118" s="5" t="n"/>
      <c r="B118" s="5">
        <f>IF(A118="","",TEXT(A118,"ddd"))</f>
        <v/>
      </c>
      <c r="C118" s="5" t="n"/>
      <c r="D118" s="5" t="n"/>
      <c r="E118" s="5">
        <f>IF(AND(C118="",D118=""),"",C118+D118)</f>
        <v/>
      </c>
      <c r="F118" s="25" t="n"/>
      <c r="G118" s="25" t="n"/>
      <c r="H118" s="26">
        <f>IF(OR(F118="",F118=0),"",G118/F118)</f>
        <v/>
      </c>
      <c r="I118" s="30">
        <f>IF(OR(E118="",E118=0),"",F118/E118)</f>
        <v/>
      </c>
      <c r="J118" s="5" t="n"/>
      <c r="K118" s="25" t="n"/>
      <c r="L118" s="5" t="n"/>
    </row>
    <row r="119">
      <c r="A119" s="5" t="n"/>
      <c r="B119" s="5">
        <f>IF(A119="","",TEXT(A119,"ddd"))</f>
        <v/>
      </c>
      <c r="C119" s="5" t="n"/>
      <c r="D119" s="5" t="n"/>
      <c r="E119" s="5">
        <f>IF(AND(C119="",D119=""),"",C119+D119)</f>
        <v/>
      </c>
      <c r="F119" s="25" t="n"/>
      <c r="G119" s="25" t="n"/>
      <c r="H119" s="26">
        <f>IF(OR(F119="",F119=0),"",G119/F119)</f>
        <v/>
      </c>
      <c r="I119" s="30">
        <f>IF(OR(E119="",E119=0),"",F119/E119)</f>
        <v/>
      </c>
      <c r="J119" s="5" t="n"/>
      <c r="K119" s="25" t="n"/>
      <c r="L119" s="5" t="n"/>
    </row>
    <row r="120">
      <c r="A120" s="5" t="n"/>
      <c r="B120" s="5">
        <f>IF(A120="","",TEXT(A120,"ddd"))</f>
        <v/>
      </c>
      <c r="C120" s="5" t="n"/>
      <c r="D120" s="5" t="n"/>
      <c r="E120" s="5">
        <f>IF(AND(C120="",D120=""),"",C120+D120)</f>
        <v/>
      </c>
      <c r="F120" s="25" t="n"/>
      <c r="G120" s="25" t="n"/>
      <c r="H120" s="26">
        <f>IF(OR(F120="",F120=0),"",G120/F120)</f>
        <v/>
      </c>
      <c r="I120" s="30">
        <f>IF(OR(E120="",E120=0),"",F120/E120)</f>
        <v/>
      </c>
      <c r="J120" s="5" t="n"/>
      <c r="K120" s="25" t="n"/>
      <c r="L120" s="5" t="n"/>
    </row>
    <row r="121">
      <c r="A121" s="5" t="n"/>
      <c r="B121" s="5">
        <f>IF(A121="","",TEXT(A121,"ddd"))</f>
        <v/>
      </c>
      <c r="C121" s="5" t="n"/>
      <c r="D121" s="5" t="n"/>
      <c r="E121" s="5">
        <f>IF(AND(C121="",D121=""),"",C121+D121)</f>
        <v/>
      </c>
      <c r="F121" s="25" t="n"/>
      <c r="G121" s="25" t="n"/>
      <c r="H121" s="26">
        <f>IF(OR(F121="",F121=0),"",G121/F121)</f>
        <v/>
      </c>
      <c r="I121" s="30">
        <f>IF(OR(E121="",E121=0),"",F121/E121)</f>
        <v/>
      </c>
      <c r="J121" s="5" t="n"/>
      <c r="K121" s="25" t="n"/>
      <c r="L121" s="5" t="n"/>
    </row>
    <row r="122">
      <c r="A122" s="5" t="n"/>
      <c r="B122" s="5">
        <f>IF(A122="","",TEXT(A122,"ddd"))</f>
        <v/>
      </c>
      <c r="C122" s="5" t="n"/>
      <c r="D122" s="5" t="n"/>
      <c r="E122" s="5">
        <f>IF(AND(C122="",D122=""),"",C122+D122)</f>
        <v/>
      </c>
      <c r="F122" s="25" t="n"/>
      <c r="G122" s="25" t="n"/>
      <c r="H122" s="26">
        <f>IF(OR(F122="",F122=0),"",G122/F122)</f>
        <v/>
      </c>
      <c r="I122" s="30">
        <f>IF(OR(E122="",E122=0),"",F122/E122)</f>
        <v/>
      </c>
      <c r="J122" s="5" t="n"/>
      <c r="K122" s="25" t="n"/>
      <c r="L122" s="5" t="n"/>
    </row>
    <row r="123">
      <c r="A123" s="5" t="n"/>
      <c r="B123" s="5">
        <f>IF(A123="","",TEXT(A123,"ddd"))</f>
        <v/>
      </c>
      <c r="C123" s="5" t="n"/>
      <c r="D123" s="5" t="n"/>
      <c r="E123" s="5">
        <f>IF(AND(C123="",D123=""),"",C123+D123)</f>
        <v/>
      </c>
      <c r="F123" s="25" t="n"/>
      <c r="G123" s="25" t="n"/>
      <c r="H123" s="26">
        <f>IF(OR(F123="",F123=0),"",G123/F123)</f>
        <v/>
      </c>
      <c r="I123" s="30">
        <f>IF(OR(E123="",E123=0),"",F123/E123)</f>
        <v/>
      </c>
      <c r="J123" s="5" t="n"/>
      <c r="K123" s="25" t="n"/>
      <c r="L123" s="5" t="n"/>
    </row>
    <row r="124">
      <c r="A124" s="5" t="n"/>
      <c r="B124" s="5">
        <f>IF(A124="","",TEXT(A124,"ddd"))</f>
        <v/>
      </c>
      <c r="C124" s="5" t="n"/>
      <c r="D124" s="5" t="n"/>
      <c r="E124" s="5">
        <f>IF(AND(C124="",D124=""),"",C124+D124)</f>
        <v/>
      </c>
      <c r="F124" s="25" t="n"/>
      <c r="G124" s="25" t="n"/>
      <c r="H124" s="26">
        <f>IF(OR(F124="",F124=0),"",G124/F124)</f>
        <v/>
      </c>
      <c r="I124" s="30">
        <f>IF(OR(E124="",E124=0),"",F124/E124)</f>
        <v/>
      </c>
      <c r="J124" s="5" t="n"/>
      <c r="K124" s="25" t="n"/>
      <c r="L124" s="5" t="n"/>
    </row>
    <row r="125">
      <c r="A125" s="5" t="n"/>
      <c r="B125" s="5">
        <f>IF(A125="","",TEXT(A125,"ddd"))</f>
        <v/>
      </c>
      <c r="C125" s="5" t="n"/>
      <c r="D125" s="5" t="n"/>
      <c r="E125" s="5">
        <f>IF(AND(C125="",D125=""),"",C125+D125)</f>
        <v/>
      </c>
      <c r="F125" s="25" t="n"/>
      <c r="G125" s="25" t="n"/>
      <c r="H125" s="26">
        <f>IF(OR(F125="",F125=0),"",G125/F125)</f>
        <v/>
      </c>
      <c r="I125" s="30">
        <f>IF(OR(E125="",E125=0),"",F125/E125)</f>
        <v/>
      </c>
      <c r="J125" s="5" t="n"/>
      <c r="K125" s="25" t="n"/>
      <c r="L125" s="5" t="n"/>
    </row>
    <row r="126">
      <c r="A126" s="5" t="n"/>
      <c r="B126" s="5">
        <f>IF(A126="","",TEXT(A126,"ddd"))</f>
        <v/>
      </c>
      <c r="C126" s="5" t="n"/>
      <c r="D126" s="5" t="n"/>
      <c r="E126" s="5">
        <f>IF(AND(C126="",D126=""),"",C126+D126)</f>
        <v/>
      </c>
      <c r="F126" s="25" t="n"/>
      <c r="G126" s="25" t="n"/>
      <c r="H126" s="26">
        <f>IF(OR(F126="",F126=0),"",G126/F126)</f>
        <v/>
      </c>
      <c r="I126" s="30">
        <f>IF(OR(E126="",E126=0),"",F126/E126)</f>
        <v/>
      </c>
      <c r="J126" s="5" t="n"/>
      <c r="K126" s="25" t="n"/>
      <c r="L126" s="5" t="n"/>
    </row>
    <row r="127">
      <c r="A127" s="5" t="n"/>
      <c r="B127" s="5">
        <f>IF(A127="","",TEXT(A127,"ddd"))</f>
        <v/>
      </c>
      <c r="C127" s="5" t="n"/>
      <c r="D127" s="5" t="n"/>
      <c r="E127" s="5">
        <f>IF(AND(C127="",D127=""),"",C127+D127)</f>
        <v/>
      </c>
      <c r="F127" s="25" t="n"/>
      <c r="G127" s="25" t="n"/>
      <c r="H127" s="26">
        <f>IF(OR(F127="",F127=0),"",G127/F127)</f>
        <v/>
      </c>
      <c r="I127" s="30">
        <f>IF(OR(E127="",E127=0),"",F127/E127)</f>
        <v/>
      </c>
      <c r="J127" s="5" t="n"/>
      <c r="K127" s="25" t="n"/>
      <c r="L127" s="5" t="n"/>
    </row>
    <row r="128">
      <c r="A128" s="5" t="n"/>
      <c r="B128" s="5">
        <f>IF(A128="","",TEXT(A128,"ddd"))</f>
        <v/>
      </c>
      <c r="C128" s="5" t="n"/>
      <c r="D128" s="5" t="n"/>
      <c r="E128" s="5">
        <f>IF(AND(C128="",D128=""),"",C128+D128)</f>
        <v/>
      </c>
      <c r="F128" s="25" t="n"/>
      <c r="G128" s="25" t="n"/>
      <c r="H128" s="26">
        <f>IF(OR(F128="",F128=0),"",G128/F128)</f>
        <v/>
      </c>
      <c r="I128" s="30">
        <f>IF(OR(E128="",E128=0),"",F128/E128)</f>
        <v/>
      </c>
      <c r="J128" s="5" t="n"/>
      <c r="K128" s="25" t="n"/>
      <c r="L128" s="5" t="n"/>
    </row>
    <row r="129">
      <c r="A129" s="5" t="n"/>
      <c r="B129" s="5">
        <f>IF(A129="","",TEXT(A129,"ddd"))</f>
        <v/>
      </c>
      <c r="C129" s="5" t="n"/>
      <c r="D129" s="5" t="n"/>
      <c r="E129" s="5">
        <f>IF(AND(C129="",D129=""),"",C129+D129)</f>
        <v/>
      </c>
      <c r="F129" s="25" t="n"/>
      <c r="G129" s="25" t="n"/>
      <c r="H129" s="26">
        <f>IF(OR(F129="",F129=0),"",G129/F129)</f>
        <v/>
      </c>
      <c r="I129" s="30">
        <f>IF(OR(E129="",E129=0),"",F129/E129)</f>
        <v/>
      </c>
      <c r="J129" s="5" t="n"/>
      <c r="K129" s="25" t="n"/>
      <c r="L129" s="5" t="n"/>
    </row>
    <row r="130">
      <c r="A130" s="5" t="n"/>
      <c r="B130" s="5">
        <f>IF(A130="","",TEXT(A130,"ddd"))</f>
        <v/>
      </c>
      <c r="C130" s="5" t="n"/>
      <c r="D130" s="5" t="n"/>
      <c r="E130" s="5">
        <f>IF(AND(C130="",D130=""),"",C130+D130)</f>
        <v/>
      </c>
      <c r="F130" s="25" t="n"/>
      <c r="G130" s="25" t="n"/>
      <c r="H130" s="26">
        <f>IF(OR(F130="",F130=0),"",G130/F130)</f>
        <v/>
      </c>
      <c r="I130" s="30">
        <f>IF(OR(E130="",E130=0),"",F130/E130)</f>
        <v/>
      </c>
      <c r="J130" s="5" t="n"/>
      <c r="K130" s="25" t="n"/>
      <c r="L130" s="5" t="n"/>
    </row>
    <row r="131">
      <c r="A131" s="5" t="n"/>
      <c r="B131" s="5">
        <f>IF(A131="","",TEXT(A131,"ddd"))</f>
        <v/>
      </c>
      <c r="C131" s="5" t="n"/>
      <c r="D131" s="5" t="n"/>
      <c r="E131" s="5">
        <f>IF(AND(C131="",D131=""),"",C131+D131)</f>
        <v/>
      </c>
      <c r="F131" s="25" t="n"/>
      <c r="G131" s="25" t="n"/>
      <c r="H131" s="26">
        <f>IF(OR(F131="",F131=0),"",G131/F131)</f>
        <v/>
      </c>
      <c r="I131" s="30">
        <f>IF(OR(E131="",E131=0),"",F131/E131)</f>
        <v/>
      </c>
      <c r="J131" s="5" t="n"/>
      <c r="K131" s="25" t="n"/>
      <c r="L131" s="5" t="n"/>
    </row>
    <row r="132">
      <c r="A132" s="5" t="n"/>
      <c r="B132" s="5">
        <f>IF(A132="","",TEXT(A132,"ddd"))</f>
        <v/>
      </c>
      <c r="C132" s="5" t="n"/>
      <c r="D132" s="5" t="n"/>
      <c r="E132" s="5">
        <f>IF(AND(C132="",D132=""),"",C132+D132)</f>
        <v/>
      </c>
      <c r="F132" s="25" t="n"/>
      <c r="G132" s="25" t="n"/>
      <c r="H132" s="26">
        <f>IF(OR(F132="",F132=0),"",G132/F132)</f>
        <v/>
      </c>
      <c r="I132" s="30">
        <f>IF(OR(E132="",E132=0),"",F132/E132)</f>
        <v/>
      </c>
      <c r="J132" s="5" t="n"/>
      <c r="K132" s="25" t="n"/>
      <c r="L132" s="5" t="n"/>
    </row>
    <row r="133">
      <c r="A133" s="5" t="n"/>
      <c r="B133" s="5">
        <f>IF(A133="","",TEXT(A133,"ddd"))</f>
        <v/>
      </c>
      <c r="C133" s="5" t="n"/>
      <c r="D133" s="5" t="n"/>
      <c r="E133" s="5">
        <f>IF(AND(C133="",D133=""),"",C133+D133)</f>
        <v/>
      </c>
      <c r="F133" s="25" t="n"/>
      <c r="G133" s="25" t="n"/>
      <c r="H133" s="26">
        <f>IF(OR(F133="",F133=0),"",G133/F133)</f>
        <v/>
      </c>
      <c r="I133" s="30">
        <f>IF(OR(E133="",E133=0),"",F133/E133)</f>
        <v/>
      </c>
      <c r="J133" s="5" t="n"/>
      <c r="K133" s="25" t="n"/>
      <c r="L133" s="5" t="n"/>
    </row>
    <row r="134">
      <c r="A134" s="5" t="n"/>
      <c r="B134" s="5">
        <f>IF(A134="","",TEXT(A134,"ddd"))</f>
        <v/>
      </c>
      <c r="C134" s="5" t="n"/>
      <c r="D134" s="5" t="n"/>
      <c r="E134" s="5">
        <f>IF(AND(C134="",D134=""),"",C134+D134)</f>
        <v/>
      </c>
      <c r="F134" s="25" t="n"/>
      <c r="G134" s="25" t="n"/>
      <c r="H134" s="26">
        <f>IF(OR(F134="",F134=0),"",G134/F134)</f>
        <v/>
      </c>
      <c r="I134" s="30">
        <f>IF(OR(E134="",E134=0),"",F134/E134)</f>
        <v/>
      </c>
      <c r="J134" s="5" t="n"/>
      <c r="K134" s="25" t="n"/>
      <c r="L134" s="5" t="n"/>
    </row>
    <row r="135">
      <c r="A135" s="5" t="n"/>
      <c r="B135" s="5">
        <f>IF(A135="","",TEXT(A135,"ddd"))</f>
        <v/>
      </c>
      <c r="C135" s="5" t="n"/>
      <c r="D135" s="5" t="n"/>
      <c r="E135" s="5">
        <f>IF(AND(C135="",D135=""),"",C135+D135)</f>
        <v/>
      </c>
      <c r="F135" s="25" t="n"/>
      <c r="G135" s="25" t="n"/>
      <c r="H135" s="26">
        <f>IF(OR(F135="",F135=0),"",G135/F135)</f>
        <v/>
      </c>
      <c r="I135" s="30">
        <f>IF(OR(E135="",E135=0),"",F135/E135)</f>
        <v/>
      </c>
      <c r="J135" s="5" t="n"/>
      <c r="K135" s="25" t="n"/>
      <c r="L135" s="5" t="n"/>
    </row>
    <row r="136">
      <c r="A136" s="5" t="n"/>
      <c r="B136" s="5">
        <f>IF(A136="","",TEXT(A136,"ddd"))</f>
        <v/>
      </c>
      <c r="C136" s="5" t="n"/>
      <c r="D136" s="5" t="n"/>
      <c r="E136" s="5">
        <f>IF(AND(C136="",D136=""),"",C136+D136)</f>
        <v/>
      </c>
      <c r="F136" s="25" t="n"/>
      <c r="G136" s="25" t="n"/>
      <c r="H136" s="26">
        <f>IF(OR(F136="",F136=0),"",G136/F136)</f>
        <v/>
      </c>
      <c r="I136" s="30">
        <f>IF(OR(E136="",E136=0),"",F136/E136)</f>
        <v/>
      </c>
      <c r="J136" s="5" t="n"/>
      <c r="K136" s="25" t="n"/>
      <c r="L136" s="5" t="n"/>
    </row>
    <row r="137">
      <c r="A137" s="5" t="n"/>
      <c r="B137" s="5">
        <f>IF(A137="","",TEXT(A137,"ddd"))</f>
        <v/>
      </c>
      <c r="C137" s="5" t="n"/>
      <c r="D137" s="5" t="n"/>
      <c r="E137" s="5">
        <f>IF(AND(C137="",D137=""),"",C137+D137)</f>
        <v/>
      </c>
      <c r="F137" s="25" t="n"/>
      <c r="G137" s="25" t="n"/>
      <c r="H137" s="26">
        <f>IF(OR(F137="",F137=0),"",G137/F137)</f>
        <v/>
      </c>
      <c r="I137" s="30">
        <f>IF(OR(E137="",E137=0),"",F137/E137)</f>
        <v/>
      </c>
      <c r="J137" s="5" t="n"/>
      <c r="K137" s="25" t="n"/>
      <c r="L137" s="5" t="n"/>
    </row>
    <row r="138">
      <c r="A138" s="5" t="n"/>
      <c r="B138" s="5">
        <f>IF(A138="","",TEXT(A138,"ddd"))</f>
        <v/>
      </c>
      <c r="C138" s="5" t="n"/>
      <c r="D138" s="5" t="n"/>
      <c r="E138" s="5">
        <f>IF(AND(C138="",D138=""),"",C138+D138)</f>
        <v/>
      </c>
      <c r="F138" s="25" t="n"/>
      <c r="G138" s="25" t="n"/>
      <c r="H138" s="26">
        <f>IF(OR(F138="",F138=0),"",G138/F138)</f>
        <v/>
      </c>
      <c r="I138" s="30">
        <f>IF(OR(E138="",E138=0),"",F138/E138)</f>
        <v/>
      </c>
      <c r="J138" s="5" t="n"/>
      <c r="K138" s="25" t="n"/>
      <c r="L138" s="5" t="n"/>
    </row>
    <row r="139">
      <c r="A139" s="5" t="n"/>
      <c r="B139" s="5">
        <f>IF(A139="","",TEXT(A139,"ddd"))</f>
        <v/>
      </c>
      <c r="C139" s="5" t="n"/>
      <c r="D139" s="5" t="n"/>
      <c r="E139" s="5">
        <f>IF(AND(C139="",D139=""),"",C139+D139)</f>
        <v/>
      </c>
      <c r="F139" s="25" t="n"/>
      <c r="G139" s="25" t="n"/>
      <c r="H139" s="26">
        <f>IF(OR(F139="",F139=0),"",G139/F139)</f>
        <v/>
      </c>
      <c r="I139" s="30">
        <f>IF(OR(E139="",E139=0),"",F139/E139)</f>
        <v/>
      </c>
      <c r="J139" s="5" t="n"/>
      <c r="K139" s="25" t="n"/>
      <c r="L139" s="5" t="n"/>
    </row>
    <row r="140">
      <c r="A140" s="5" t="n"/>
      <c r="B140" s="5">
        <f>IF(A140="","",TEXT(A140,"ddd"))</f>
        <v/>
      </c>
      <c r="C140" s="5" t="n"/>
      <c r="D140" s="5" t="n"/>
      <c r="E140" s="5">
        <f>IF(AND(C140="",D140=""),"",C140+D140)</f>
        <v/>
      </c>
      <c r="F140" s="25" t="n"/>
      <c r="G140" s="25" t="n"/>
      <c r="H140" s="26">
        <f>IF(OR(F140="",F140=0),"",G140/F140)</f>
        <v/>
      </c>
      <c r="I140" s="30">
        <f>IF(OR(E140="",E140=0),"",F140/E140)</f>
        <v/>
      </c>
      <c r="J140" s="5" t="n"/>
      <c r="K140" s="25" t="n"/>
      <c r="L140" s="5" t="n"/>
    </row>
    <row r="141">
      <c r="A141" s="5" t="n"/>
      <c r="B141" s="5">
        <f>IF(A141="","",TEXT(A141,"ddd"))</f>
        <v/>
      </c>
      <c r="C141" s="5" t="n"/>
      <c r="D141" s="5" t="n"/>
      <c r="E141" s="5">
        <f>IF(AND(C141="",D141=""),"",C141+D141)</f>
        <v/>
      </c>
      <c r="F141" s="25" t="n"/>
      <c r="G141" s="25" t="n"/>
      <c r="H141" s="26">
        <f>IF(OR(F141="",F141=0),"",G141/F141)</f>
        <v/>
      </c>
      <c r="I141" s="30">
        <f>IF(OR(E141="",E141=0),"",F141/E141)</f>
        <v/>
      </c>
      <c r="J141" s="5" t="n"/>
      <c r="K141" s="25" t="n"/>
      <c r="L141" s="5" t="n"/>
    </row>
    <row r="142">
      <c r="A142" s="5" t="n"/>
      <c r="B142" s="5">
        <f>IF(A142="","",TEXT(A142,"ddd"))</f>
        <v/>
      </c>
      <c r="C142" s="5" t="n"/>
      <c r="D142" s="5" t="n"/>
      <c r="E142" s="5">
        <f>IF(AND(C142="",D142=""),"",C142+D142)</f>
        <v/>
      </c>
      <c r="F142" s="25" t="n"/>
      <c r="G142" s="25" t="n"/>
      <c r="H142" s="26">
        <f>IF(OR(F142="",F142=0),"",G142/F142)</f>
        <v/>
      </c>
      <c r="I142" s="30">
        <f>IF(OR(E142="",E142=0),"",F142/E142)</f>
        <v/>
      </c>
      <c r="J142" s="5" t="n"/>
      <c r="K142" s="25" t="n"/>
      <c r="L142" s="5" t="n"/>
    </row>
    <row r="143">
      <c r="A143" s="5" t="n"/>
      <c r="B143" s="5">
        <f>IF(A143="","",TEXT(A143,"ddd"))</f>
        <v/>
      </c>
      <c r="C143" s="5" t="n"/>
      <c r="D143" s="5" t="n"/>
      <c r="E143" s="5">
        <f>IF(AND(C143="",D143=""),"",C143+D143)</f>
        <v/>
      </c>
      <c r="F143" s="25" t="n"/>
      <c r="G143" s="25" t="n"/>
      <c r="H143" s="26">
        <f>IF(OR(F143="",F143=0),"",G143/F143)</f>
        <v/>
      </c>
      <c r="I143" s="30">
        <f>IF(OR(E143="",E143=0),"",F143/E143)</f>
        <v/>
      </c>
      <c r="J143" s="5" t="n"/>
      <c r="K143" s="25" t="n"/>
      <c r="L143" s="5" t="n"/>
    </row>
    <row r="144">
      <c r="A144" s="5" t="n"/>
      <c r="B144" s="5">
        <f>IF(A144="","",TEXT(A144,"ddd"))</f>
        <v/>
      </c>
      <c r="C144" s="5" t="n"/>
      <c r="D144" s="5" t="n"/>
      <c r="E144" s="5">
        <f>IF(AND(C144="",D144=""),"",C144+D144)</f>
        <v/>
      </c>
      <c r="F144" s="25" t="n"/>
      <c r="G144" s="25" t="n"/>
      <c r="H144" s="26">
        <f>IF(OR(F144="",F144=0),"",G144/F144)</f>
        <v/>
      </c>
      <c r="I144" s="30">
        <f>IF(OR(E144="",E144=0),"",F144/E144)</f>
        <v/>
      </c>
      <c r="J144" s="5" t="n"/>
      <c r="K144" s="25" t="n"/>
      <c r="L144" s="5" t="n"/>
    </row>
    <row r="145">
      <c r="A145" s="5" t="n"/>
      <c r="B145" s="5">
        <f>IF(A145="","",TEXT(A145,"ddd"))</f>
        <v/>
      </c>
      <c r="C145" s="5" t="n"/>
      <c r="D145" s="5" t="n"/>
      <c r="E145" s="5">
        <f>IF(AND(C145="",D145=""),"",C145+D145)</f>
        <v/>
      </c>
      <c r="F145" s="25" t="n"/>
      <c r="G145" s="25" t="n"/>
      <c r="H145" s="26">
        <f>IF(OR(F145="",F145=0),"",G145/F145)</f>
        <v/>
      </c>
      <c r="I145" s="30">
        <f>IF(OR(E145="",E145=0),"",F145/E145)</f>
        <v/>
      </c>
      <c r="J145" s="5" t="n"/>
      <c r="K145" s="25" t="n"/>
      <c r="L145" s="5" t="n"/>
    </row>
    <row r="146">
      <c r="A146" s="5" t="n"/>
      <c r="B146" s="5">
        <f>IF(A146="","",TEXT(A146,"ddd"))</f>
        <v/>
      </c>
      <c r="C146" s="5" t="n"/>
      <c r="D146" s="5" t="n"/>
      <c r="E146" s="5">
        <f>IF(AND(C146="",D146=""),"",C146+D146)</f>
        <v/>
      </c>
      <c r="F146" s="25" t="n"/>
      <c r="G146" s="25" t="n"/>
      <c r="H146" s="26">
        <f>IF(OR(F146="",F146=0),"",G146/F146)</f>
        <v/>
      </c>
      <c r="I146" s="30">
        <f>IF(OR(E146="",E146=0),"",F146/E146)</f>
        <v/>
      </c>
      <c r="J146" s="5" t="n"/>
      <c r="K146" s="25" t="n"/>
      <c r="L146" s="5" t="n"/>
    </row>
    <row r="147">
      <c r="A147" s="5" t="n"/>
      <c r="B147" s="5">
        <f>IF(A147="","",TEXT(A147,"ddd"))</f>
        <v/>
      </c>
      <c r="C147" s="5" t="n"/>
      <c r="D147" s="5" t="n"/>
      <c r="E147" s="5">
        <f>IF(AND(C147="",D147=""),"",C147+D147)</f>
        <v/>
      </c>
      <c r="F147" s="25" t="n"/>
      <c r="G147" s="25" t="n"/>
      <c r="H147" s="26">
        <f>IF(OR(F147="",F147=0),"",G147/F147)</f>
        <v/>
      </c>
      <c r="I147" s="30">
        <f>IF(OR(E147="",E147=0),"",F147/E147)</f>
        <v/>
      </c>
      <c r="J147" s="5" t="n"/>
      <c r="K147" s="25" t="n"/>
      <c r="L147" s="5" t="n"/>
    </row>
    <row r="148">
      <c r="A148" s="5" t="n"/>
      <c r="B148" s="5">
        <f>IF(A148="","",TEXT(A148,"ddd"))</f>
        <v/>
      </c>
      <c r="C148" s="5" t="n"/>
      <c r="D148" s="5" t="n"/>
      <c r="E148" s="5">
        <f>IF(AND(C148="",D148=""),"",C148+D148)</f>
        <v/>
      </c>
      <c r="F148" s="25" t="n"/>
      <c r="G148" s="25" t="n"/>
      <c r="H148" s="26">
        <f>IF(OR(F148="",F148=0),"",G148/F148)</f>
        <v/>
      </c>
      <c r="I148" s="30">
        <f>IF(OR(E148="",E148=0),"",F148/E148)</f>
        <v/>
      </c>
      <c r="J148" s="5" t="n"/>
      <c r="K148" s="25" t="n"/>
      <c r="L148" s="5" t="n"/>
    </row>
    <row r="149">
      <c r="A149" s="5" t="n"/>
      <c r="B149" s="5">
        <f>IF(A149="","",TEXT(A149,"ddd"))</f>
        <v/>
      </c>
      <c r="C149" s="5" t="n"/>
      <c r="D149" s="5" t="n"/>
      <c r="E149" s="5">
        <f>IF(AND(C149="",D149=""),"",C149+D149)</f>
        <v/>
      </c>
      <c r="F149" s="25" t="n"/>
      <c r="G149" s="25" t="n"/>
      <c r="H149" s="26">
        <f>IF(OR(F149="",F149=0),"",G149/F149)</f>
        <v/>
      </c>
      <c r="I149" s="30">
        <f>IF(OR(E149="",E149=0),"",F149/E149)</f>
        <v/>
      </c>
      <c r="J149" s="5" t="n"/>
      <c r="K149" s="25" t="n"/>
      <c r="L149" s="5" t="n"/>
    </row>
    <row r="150">
      <c r="A150" s="5" t="n"/>
      <c r="B150" s="5">
        <f>IF(A150="","",TEXT(A150,"ddd"))</f>
        <v/>
      </c>
      <c r="C150" s="5" t="n"/>
      <c r="D150" s="5" t="n"/>
      <c r="E150" s="5">
        <f>IF(AND(C150="",D150=""),"",C150+D150)</f>
        <v/>
      </c>
      <c r="F150" s="25" t="n"/>
      <c r="G150" s="25" t="n"/>
      <c r="H150" s="26">
        <f>IF(OR(F150="",F150=0),"",G150/F150)</f>
        <v/>
      </c>
      <c r="I150" s="30">
        <f>IF(OR(E150="",E150=0),"",F150/E150)</f>
        <v/>
      </c>
      <c r="J150" s="5" t="n"/>
      <c r="K150" s="25" t="n"/>
      <c r="L150" s="5" t="n"/>
    </row>
    <row r="151">
      <c r="A151" s="5" t="n"/>
      <c r="B151" s="5">
        <f>IF(A151="","",TEXT(A151,"ddd"))</f>
        <v/>
      </c>
      <c r="C151" s="5" t="n"/>
      <c r="D151" s="5" t="n"/>
      <c r="E151" s="5">
        <f>IF(AND(C151="",D151=""),"",C151+D151)</f>
        <v/>
      </c>
      <c r="F151" s="25" t="n"/>
      <c r="G151" s="25" t="n"/>
      <c r="H151" s="26">
        <f>IF(OR(F151="",F151=0),"",G151/F151)</f>
        <v/>
      </c>
      <c r="I151" s="30">
        <f>IF(OR(E151="",E151=0),"",F151/E151)</f>
        <v/>
      </c>
      <c r="J151" s="5" t="n"/>
      <c r="K151" s="25" t="n"/>
      <c r="L151" s="5" t="n"/>
    </row>
    <row r="152">
      <c r="A152" s="5" t="n"/>
      <c r="B152" s="5">
        <f>IF(A152="","",TEXT(A152,"ddd"))</f>
        <v/>
      </c>
      <c r="C152" s="5" t="n"/>
      <c r="D152" s="5" t="n"/>
      <c r="E152" s="5">
        <f>IF(AND(C152="",D152=""),"",C152+D152)</f>
        <v/>
      </c>
      <c r="F152" s="25" t="n"/>
      <c r="G152" s="25" t="n"/>
      <c r="H152" s="26">
        <f>IF(OR(F152="",F152=0),"",G152/F152)</f>
        <v/>
      </c>
      <c r="I152" s="30">
        <f>IF(OR(E152="",E152=0),"",F152/E152)</f>
        <v/>
      </c>
      <c r="J152" s="5" t="n"/>
      <c r="K152" s="25" t="n"/>
      <c r="L152" s="5" t="n"/>
    </row>
    <row r="153">
      <c r="A153" s="5" t="n"/>
      <c r="B153" s="5">
        <f>IF(A153="","",TEXT(A153,"ddd"))</f>
        <v/>
      </c>
      <c r="C153" s="5" t="n"/>
      <c r="D153" s="5" t="n"/>
      <c r="E153" s="5">
        <f>IF(AND(C153="",D153=""),"",C153+D153)</f>
        <v/>
      </c>
      <c r="F153" s="25" t="n"/>
      <c r="G153" s="25" t="n"/>
      <c r="H153" s="26">
        <f>IF(OR(F153="",F153=0),"",G153/F153)</f>
        <v/>
      </c>
      <c r="I153" s="30">
        <f>IF(OR(E153="",E153=0),"",F153/E153)</f>
        <v/>
      </c>
      <c r="J153" s="5" t="n"/>
      <c r="K153" s="25" t="n"/>
      <c r="L153" s="5" t="n"/>
    </row>
    <row r="154">
      <c r="A154" s="5" t="n"/>
      <c r="B154" s="5">
        <f>IF(A154="","",TEXT(A154,"ddd"))</f>
        <v/>
      </c>
      <c r="C154" s="5" t="n"/>
      <c r="D154" s="5" t="n"/>
      <c r="E154" s="5">
        <f>IF(AND(C154="",D154=""),"",C154+D154)</f>
        <v/>
      </c>
      <c r="F154" s="25" t="n"/>
      <c r="G154" s="25" t="n"/>
      <c r="H154" s="26">
        <f>IF(OR(F154="",F154=0),"",G154/F154)</f>
        <v/>
      </c>
      <c r="I154" s="30">
        <f>IF(OR(E154="",E154=0),"",F154/E154)</f>
        <v/>
      </c>
      <c r="J154" s="5" t="n"/>
      <c r="K154" s="25" t="n"/>
      <c r="L154" s="5" t="n"/>
    </row>
    <row r="155">
      <c r="A155" s="5" t="n"/>
      <c r="B155" s="5">
        <f>IF(A155="","",TEXT(A155,"ddd"))</f>
        <v/>
      </c>
      <c r="C155" s="5" t="n"/>
      <c r="D155" s="5" t="n"/>
      <c r="E155" s="5">
        <f>IF(AND(C155="",D155=""),"",C155+D155)</f>
        <v/>
      </c>
      <c r="F155" s="25" t="n"/>
      <c r="G155" s="25" t="n"/>
      <c r="H155" s="26">
        <f>IF(OR(F155="",F155=0),"",G155/F155)</f>
        <v/>
      </c>
      <c r="I155" s="30">
        <f>IF(OR(E155="",E155=0),"",F155/E155)</f>
        <v/>
      </c>
      <c r="J155" s="5" t="n"/>
      <c r="K155" s="25" t="n"/>
      <c r="L155" s="5" t="n"/>
    </row>
    <row r="156">
      <c r="A156" s="5" t="n"/>
      <c r="B156" s="5">
        <f>IF(A156="","",TEXT(A156,"ddd"))</f>
        <v/>
      </c>
      <c r="C156" s="5" t="n"/>
      <c r="D156" s="5" t="n"/>
      <c r="E156" s="5">
        <f>IF(AND(C156="",D156=""),"",C156+D156)</f>
        <v/>
      </c>
      <c r="F156" s="25" t="n"/>
      <c r="G156" s="25" t="n"/>
      <c r="H156" s="26">
        <f>IF(OR(F156="",F156=0),"",G156/F156)</f>
        <v/>
      </c>
      <c r="I156" s="30">
        <f>IF(OR(E156="",E156=0),"",F156/E156)</f>
        <v/>
      </c>
      <c r="J156" s="5" t="n"/>
      <c r="K156" s="25" t="n"/>
      <c r="L156" s="5" t="n"/>
    </row>
    <row r="157">
      <c r="A157" s="5" t="n"/>
      <c r="B157" s="5">
        <f>IF(A157="","",TEXT(A157,"ddd"))</f>
        <v/>
      </c>
      <c r="C157" s="5" t="n"/>
      <c r="D157" s="5" t="n"/>
      <c r="E157" s="5">
        <f>IF(AND(C157="",D157=""),"",C157+D157)</f>
        <v/>
      </c>
      <c r="F157" s="25" t="n"/>
      <c r="G157" s="25" t="n"/>
      <c r="H157" s="26">
        <f>IF(OR(F157="",F157=0),"",G157/F157)</f>
        <v/>
      </c>
      <c r="I157" s="30">
        <f>IF(OR(E157="",E157=0),"",F157/E157)</f>
        <v/>
      </c>
      <c r="J157" s="5" t="n"/>
      <c r="K157" s="25" t="n"/>
      <c r="L157" s="5" t="n"/>
    </row>
    <row r="158">
      <c r="A158" s="5" t="n"/>
      <c r="B158" s="5">
        <f>IF(A158="","",TEXT(A158,"ddd"))</f>
        <v/>
      </c>
      <c r="C158" s="5" t="n"/>
      <c r="D158" s="5" t="n"/>
      <c r="E158" s="5">
        <f>IF(AND(C158="",D158=""),"",C158+D158)</f>
        <v/>
      </c>
      <c r="F158" s="25" t="n"/>
      <c r="G158" s="25" t="n"/>
      <c r="H158" s="26">
        <f>IF(OR(F158="",F158=0),"",G158/F158)</f>
        <v/>
      </c>
      <c r="I158" s="30">
        <f>IF(OR(E158="",E158=0),"",F158/E158)</f>
        <v/>
      </c>
      <c r="J158" s="5" t="n"/>
      <c r="K158" s="25" t="n"/>
      <c r="L158" s="5" t="n"/>
    </row>
    <row r="159">
      <c r="A159" s="5" t="n"/>
      <c r="B159" s="5">
        <f>IF(A159="","",TEXT(A159,"ddd"))</f>
        <v/>
      </c>
      <c r="C159" s="5" t="n"/>
      <c r="D159" s="5" t="n"/>
      <c r="E159" s="5">
        <f>IF(AND(C159="",D159=""),"",C159+D159)</f>
        <v/>
      </c>
      <c r="F159" s="25" t="n"/>
      <c r="G159" s="25" t="n"/>
      <c r="H159" s="26">
        <f>IF(OR(F159="",F159=0),"",G159/F159)</f>
        <v/>
      </c>
      <c r="I159" s="30">
        <f>IF(OR(E159="",E159=0),"",F159/E159)</f>
        <v/>
      </c>
      <c r="J159" s="5" t="n"/>
      <c r="K159" s="25" t="n"/>
      <c r="L159" s="5" t="n"/>
    </row>
    <row r="160">
      <c r="A160" s="5" t="n"/>
      <c r="B160" s="5">
        <f>IF(A160="","",TEXT(A160,"ddd"))</f>
        <v/>
      </c>
      <c r="C160" s="5" t="n"/>
      <c r="D160" s="5" t="n"/>
      <c r="E160" s="5">
        <f>IF(AND(C160="",D160=""),"",C160+D160)</f>
        <v/>
      </c>
      <c r="F160" s="25" t="n"/>
      <c r="G160" s="25" t="n"/>
      <c r="H160" s="26">
        <f>IF(OR(F160="",F160=0),"",G160/F160)</f>
        <v/>
      </c>
      <c r="I160" s="30">
        <f>IF(OR(E160="",E160=0),"",F160/E160)</f>
        <v/>
      </c>
      <c r="J160" s="5" t="n"/>
      <c r="K160" s="25" t="n"/>
      <c r="L160" s="5" t="n"/>
    </row>
    <row r="161">
      <c r="A161" s="5" t="n"/>
      <c r="B161" s="5">
        <f>IF(A161="","",TEXT(A161,"ddd"))</f>
        <v/>
      </c>
      <c r="C161" s="5" t="n"/>
      <c r="D161" s="5" t="n"/>
      <c r="E161" s="5">
        <f>IF(AND(C161="",D161=""),"",C161+D161)</f>
        <v/>
      </c>
      <c r="F161" s="25" t="n"/>
      <c r="G161" s="25" t="n"/>
      <c r="H161" s="26">
        <f>IF(OR(F161="",F161=0),"",G161/F161)</f>
        <v/>
      </c>
      <c r="I161" s="30">
        <f>IF(OR(E161="",E161=0),"",F161/E161)</f>
        <v/>
      </c>
      <c r="J161" s="5" t="n"/>
      <c r="K161" s="25" t="n"/>
      <c r="L161" s="5" t="n"/>
    </row>
    <row r="162">
      <c r="A162" s="5" t="n"/>
      <c r="B162" s="5">
        <f>IF(A162="","",TEXT(A162,"ddd"))</f>
        <v/>
      </c>
      <c r="C162" s="5" t="n"/>
      <c r="D162" s="5" t="n"/>
      <c r="E162" s="5">
        <f>IF(AND(C162="",D162=""),"",C162+D162)</f>
        <v/>
      </c>
      <c r="F162" s="25" t="n"/>
      <c r="G162" s="25" t="n"/>
      <c r="H162" s="26">
        <f>IF(OR(F162="",F162=0),"",G162/F162)</f>
        <v/>
      </c>
      <c r="I162" s="30">
        <f>IF(OR(E162="",E162=0),"",F162/E162)</f>
        <v/>
      </c>
      <c r="J162" s="5" t="n"/>
      <c r="K162" s="25" t="n"/>
      <c r="L162" s="5" t="n"/>
    </row>
    <row r="163">
      <c r="A163" s="5" t="n"/>
      <c r="B163" s="5">
        <f>IF(A163="","",TEXT(A163,"ddd"))</f>
        <v/>
      </c>
      <c r="C163" s="5" t="n"/>
      <c r="D163" s="5" t="n"/>
      <c r="E163" s="5">
        <f>IF(AND(C163="",D163=""),"",C163+D163)</f>
        <v/>
      </c>
      <c r="F163" s="25" t="n"/>
      <c r="G163" s="25" t="n"/>
      <c r="H163" s="26">
        <f>IF(OR(F163="",F163=0),"",G163/F163)</f>
        <v/>
      </c>
      <c r="I163" s="30">
        <f>IF(OR(E163="",E163=0),"",F163/E163)</f>
        <v/>
      </c>
      <c r="J163" s="5" t="n"/>
      <c r="K163" s="25" t="n"/>
      <c r="L163" s="5" t="n"/>
    </row>
    <row r="164">
      <c r="A164" s="5" t="n"/>
      <c r="B164" s="5">
        <f>IF(A164="","",TEXT(A164,"ddd"))</f>
        <v/>
      </c>
      <c r="C164" s="5" t="n"/>
      <c r="D164" s="5" t="n"/>
      <c r="E164" s="5">
        <f>IF(AND(C164="",D164=""),"",C164+D164)</f>
        <v/>
      </c>
      <c r="F164" s="25" t="n"/>
      <c r="G164" s="25" t="n"/>
      <c r="H164" s="26">
        <f>IF(OR(F164="",F164=0),"",G164/F164)</f>
        <v/>
      </c>
      <c r="I164" s="30">
        <f>IF(OR(E164="",E164=0),"",F164/E164)</f>
        <v/>
      </c>
      <c r="J164" s="5" t="n"/>
      <c r="K164" s="25" t="n"/>
      <c r="L164" s="5" t="n"/>
    </row>
    <row r="165">
      <c r="A165" s="5" t="n"/>
      <c r="B165" s="5">
        <f>IF(A165="","",TEXT(A165,"ddd"))</f>
        <v/>
      </c>
      <c r="C165" s="5" t="n"/>
      <c r="D165" s="5" t="n"/>
      <c r="E165" s="5">
        <f>IF(AND(C165="",D165=""),"",C165+D165)</f>
        <v/>
      </c>
      <c r="F165" s="25" t="n"/>
      <c r="G165" s="25" t="n"/>
      <c r="H165" s="26">
        <f>IF(OR(F165="",F165=0),"",G165/F165)</f>
        <v/>
      </c>
      <c r="I165" s="30">
        <f>IF(OR(E165="",E165=0),"",F165/E165)</f>
        <v/>
      </c>
      <c r="J165" s="5" t="n"/>
      <c r="K165" s="25" t="n"/>
      <c r="L165" s="5" t="n"/>
    </row>
    <row r="166">
      <c r="A166" s="5" t="n"/>
      <c r="B166" s="5">
        <f>IF(A166="","",TEXT(A166,"ddd"))</f>
        <v/>
      </c>
      <c r="C166" s="5" t="n"/>
      <c r="D166" s="5" t="n"/>
      <c r="E166" s="5">
        <f>IF(AND(C166="",D166=""),"",C166+D166)</f>
        <v/>
      </c>
      <c r="F166" s="25" t="n"/>
      <c r="G166" s="25" t="n"/>
      <c r="H166" s="26">
        <f>IF(OR(F166="",F166=0),"",G166/F166)</f>
        <v/>
      </c>
      <c r="I166" s="30">
        <f>IF(OR(E166="",E166=0),"",F166/E166)</f>
        <v/>
      </c>
      <c r="J166" s="5" t="n"/>
      <c r="K166" s="25" t="n"/>
      <c r="L166" s="5" t="n"/>
    </row>
    <row r="167">
      <c r="A167" s="5" t="n"/>
      <c r="B167" s="5">
        <f>IF(A167="","",TEXT(A167,"ddd"))</f>
        <v/>
      </c>
      <c r="C167" s="5" t="n"/>
      <c r="D167" s="5" t="n"/>
      <c r="E167" s="5">
        <f>IF(AND(C167="",D167=""),"",C167+D167)</f>
        <v/>
      </c>
      <c r="F167" s="25" t="n"/>
      <c r="G167" s="25" t="n"/>
      <c r="H167" s="26">
        <f>IF(OR(F167="",F167=0),"",G167/F167)</f>
        <v/>
      </c>
      <c r="I167" s="30">
        <f>IF(OR(E167="",E167=0),"",F167/E167)</f>
        <v/>
      </c>
      <c r="J167" s="5" t="n"/>
      <c r="K167" s="25" t="n"/>
      <c r="L167" s="5" t="n"/>
    </row>
    <row r="168">
      <c r="A168" s="5" t="n"/>
      <c r="B168" s="5">
        <f>IF(A168="","",TEXT(A168,"ddd"))</f>
        <v/>
      </c>
      <c r="C168" s="5" t="n"/>
      <c r="D168" s="5" t="n"/>
      <c r="E168" s="5">
        <f>IF(AND(C168="",D168=""),"",C168+D168)</f>
        <v/>
      </c>
      <c r="F168" s="25" t="n"/>
      <c r="G168" s="25" t="n"/>
      <c r="H168" s="26">
        <f>IF(OR(F168="",F168=0),"",G168/F168)</f>
        <v/>
      </c>
      <c r="I168" s="30">
        <f>IF(OR(E168="",E168=0),"",F168/E168)</f>
        <v/>
      </c>
      <c r="J168" s="5" t="n"/>
      <c r="K168" s="25" t="n"/>
      <c r="L168" s="5" t="n"/>
    </row>
    <row r="169">
      <c r="A169" s="5" t="n"/>
      <c r="B169" s="5">
        <f>IF(A169="","",TEXT(A169,"ddd"))</f>
        <v/>
      </c>
      <c r="C169" s="5" t="n"/>
      <c r="D169" s="5" t="n"/>
      <c r="E169" s="5">
        <f>IF(AND(C169="",D169=""),"",C169+D169)</f>
        <v/>
      </c>
      <c r="F169" s="25" t="n"/>
      <c r="G169" s="25" t="n"/>
      <c r="H169" s="26">
        <f>IF(OR(F169="",F169=0),"",G169/F169)</f>
        <v/>
      </c>
      <c r="I169" s="30">
        <f>IF(OR(E169="",E169=0),"",F169/E169)</f>
        <v/>
      </c>
      <c r="J169" s="5" t="n"/>
      <c r="K169" s="25" t="n"/>
      <c r="L169" s="5" t="n"/>
    </row>
    <row r="170">
      <c r="A170" s="5" t="n"/>
      <c r="B170" s="5">
        <f>IF(A170="","",TEXT(A170,"ddd"))</f>
        <v/>
      </c>
      <c r="C170" s="5" t="n"/>
      <c r="D170" s="5" t="n"/>
      <c r="E170" s="5">
        <f>IF(AND(C170="",D170=""),"",C170+D170)</f>
        <v/>
      </c>
      <c r="F170" s="25" t="n"/>
      <c r="G170" s="25" t="n"/>
      <c r="H170" s="26">
        <f>IF(OR(F170="",F170=0),"",G170/F170)</f>
        <v/>
      </c>
      <c r="I170" s="30">
        <f>IF(OR(E170="",E170=0),"",F170/E170)</f>
        <v/>
      </c>
      <c r="J170" s="5" t="n"/>
      <c r="K170" s="25" t="n"/>
      <c r="L170" s="5" t="n"/>
    </row>
    <row r="171">
      <c r="A171" s="5" t="n"/>
      <c r="B171" s="5">
        <f>IF(A171="","",TEXT(A171,"ddd"))</f>
        <v/>
      </c>
      <c r="C171" s="5" t="n"/>
      <c r="D171" s="5" t="n"/>
      <c r="E171" s="5">
        <f>IF(AND(C171="",D171=""),"",C171+D171)</f>
        <v/>
      </c>
      <c r="F171" s="25" t="n"/>
      <c r="G171" s="25" t="n"/>
      <c r="H171" s="26">
        <f>IF(OR(F171="",F171=0),"",G171/F171)</f>
        <v/>
      </c>
      <c r="I171" s="30">
        <f>IF(OR(E171="",E171=0),"",F171/E171)</f>
        <v/>
      </c>
      <c r="J171" s="5" t="n"/>
      <c r="K171" s="25" t="n"/>
      <c r="L171" s="5" t="n"/>
    </row>
    <row r="172">
      <c r="A172" s="5" t="n"/>
      <c r="B172" s="5">
        <f>IF(A172="","",TEXT(A172,"ddd"))</f>
        <v/>
      </c>
      <c r="C172" s="5" t="n"/>
      <c r="D172" s="5" t="n"/>
      <c r="E172" s="5">
        <f>IF(AND(C172="",D172=""),"",C172+D172)</f>
        <v/>
      </c>
      <c r="F172" s="25" t="n"/>
      <c r="G172" s="25" t="n"/>
      <c r="H172" s="26">
        <f>IF(OR(F172="",F172=0),"",G172/F172)</f>
        <v/>
      </c>
      <c r="I172" s="30">
        <f>IF(OR(E172="",E172=0),"",F172/E172)</f>
        <v/>
      </c>
      <c r="J172" s="5" t="n"/>
      <c r="K172" s="25" t="n"/>
      <c r="L172" s="5" t="n"/>
    </row>
    <row r="173">
      <c r="A173" s="5" t="n"/>
      <c r="B173" s="5">
        <f>IF(A173="","",TEXT(A173,"ddd"))</f>
        <v/>
      </c>
      <c r="C173" s="5" t="n"/>
      <c r="D173" s="5" t="n"/>
      <c r="E173" s="5">
        <f>IF(AND(C173="",D173=""),"",C173+D173)</f>
        <v/>
      </c>
      <c r="F173" s="25" t="n"/>
      <c r="G173" s="25" t="n"/>
      <c r="H173" s="26">
        <f>IF(OR(F173="",F173=0),"",G173/F173)</f>
        <v/>
      </c>
      <c r="I173" s="30">
        <f>IF(OR(E173="",E173=0),"",F173/E173)</f>
        <v/>
      </c>
      <c r="J173" s="5" t="n"/>
      <c r="K173" s="25" t="n"/>
      <c r="L173" s="5" t="n"/>
    </row>
    <row r="174">
      <c r="A174" s="5" t="n"/>
      <c r="B174" s="5">
        <f>IF(A174="","",TEXT(A174,"ddd"))</f>
        <v/>
      </c>
      <c r="C174" s="5" t="n"/>
      <c r="D174" s="5" t="n"/>
      <c r="E174" s="5">
        <f>IF(AND(C174="",D174=""),"",C174+D174)</f>
        <v/>
      </c>
      <c r="F174" s="25" t="n"/>
      <c r="G174" s="25" t="n"/>
      <c r="H174" s="26">
        <f>IF(OR(F174="",F174=0),"",G174/F174)</f>
        <v/>
      </c>
      <c r="I174" s="30">
        <f>IF(OR(E174="",E174=0),"",F174/E174)</f>
        <v/>
      </c>
      <c r="J174" s="5" t="n"/>
      <c r="K174" s="25" t="n"/>
      <c r="L174" s="5" t="n"/>
    </row>
    <row r="175">
      <c r="A175" s="5" t="n"/>
      <c r="B175" s="5">
        <f>IF(A175="","",TEXT(A175,"ddd"))</f>
        <v/>
      </c>
      <c r="C175" s="5" t="n"/>
      <c r="D175" s="5" t="n"/>
      <c r="E175" s="5">
        <f>IF(AND(C175="",D175=""),"",C175+D175)</f>
        <v/>
      </c>
      <c r="F175" s="25" t="n"/>
      <c r="G175" s="25" t="n"/>
      <c r="H175" s="26">
        <f>IF(OR(F175="",F175=0),"",G175/F175)</f>
        <v/>
      </c>
      <c r="I175" s="30">
        <f>IF(OR(E175="",E175=0),"",F175/E175)</f>
        <v/>
      </c>
      <c r="J175" s="5" t="n"/>
      <c r="K175" s="25" t="n"/>
      <c r="L175" s="5" t="n"/>
    </row>
    <row r="176">
      <c r="A176" s="5" t="n"/>
      <c r="B176" s="5">
        <f>IF(A176="","",TEXT(A176,"ddd"))</f>
        <v/>
      </c>
      <c r="C176" s="5" t="n"/>
      <c r="D176" s="5" t="n"/>
      <c r="E176" s="5">
        <f>IF(AND(C176="",D176=""),"",C176+D176)</f>
        <v/>
      </c>
      <c r="F176" s="25" t="n"/>
      <c r="G176" s="25" t="n"/>
      <c r="H176" s="26">
        <f>IF(OR(F176="",F176=0),"",G176/F176)</f>
        <v/>
      </c>
      <c r="I176" s="30">
        <f>IF(OR(E176="",E176=0),"",F176/E176)</f>
        <v/>
      </c>
      <c r="J176" s="5" t="n"/>
      <c r="K176" s="25" t="n"/>
      <c r="L176" s="5" t="n"/>
    </row>
    <row r="177">
      <c r="A177" s="5" t="n"/>
      <c r="B177" s="5">
        <f>IF(A177="","",TEXT(A177,"ddd"))</f>
        <v/>
      </c>
      <c r="C177" s="5" t="n"/>
      <c r="D177" s="5" t="n"/>
      <c r="E177" s="5">
        <f>IF(AND(C177="",D177=""),"",C177+D177)</f>
        <v/>
      </c>
      <c r="F177" s="25" t="n"/>
      <c r="G177" s="25" t="n"/>
      <c r="H177" s="26">
        <f>IF(OR(F177="",F177=0),"",G177/F177)</f>
        <v/>
      </c>
      <c r="I177" s="30">
        <f>IF(OR(E177="",E177=0),"",F177/E177)</f>
        <v/>
      </c>
      <c r="J177" s="5" t="n"/>
      <c r="K177" s="25" t="n"/>
      <c r="L177" s="5" t="n"/>
    </row>
    <row r="178">
      <c r="A178" s="5" t="n"/>
      <c r="B178" s="5">
        <f>IF(A178="","",TEXT(A178,"ddd"))</f>
        <v/>
      </c>
      <c r="C178" s="5" t="n"/>
      <c r="D178" s="5" t="n"/>
      <c r="E178" s="5">
        <f>IF(AND(C178="",D178=""),"",C178+D178)</f>
        <v/>
      </c>
      <c r="F178" s="25" t="n"/>
      <c r="G178" s="25" t="n"/>
      <c r="H178" s="26">
        <f>IF(OR(F178="",F178=0),"",G178/F178)</f>
        <v/>
      </c>
      <c r="I178" s="30">
        <f>IF(OR(E178="",E178=0),"",F178/E178)</f>
        <v/>
      </c>
      <c r="J178" s="5" t="n"/>
      <c r="K178" s="25" t="n"/>
      <c r="L178" s="5" t="n"/>
    </row>
    <row r="179">
      <c r="A179" s="5" t="n"/>
      <c r="B179" s="5">
        <f>IF(A179="","",TEXT(A179,"ddd"))</f>
        <v/>
      </c>
      <c r="C179" s="5" t="n"/>
      <c r="D179" s="5" t="n"/>
      <c r="E179" s="5">
        <f>IF(AND(C179="",D179=""),"",C179+D179)</f>
        <v/>
      </c>
      <c r="F179" s="25" t="n"/>
      <c r="G179" s="25" t="n"/>
      <c r="H179" s="26">
        <f>IF(OR(F179="",F179=0),"",G179/F179)</f>
        <v/>
      </c>
      <c r="I179" s="30">
        <f>IF(OR(E179="",E179=0),"",F179/E179)</f>
        <v/>
      </c>
      <c r="J179" s="5" t="n"/>
      <c r="K179" s="25" t="n"/>
      <c r="L179" s="5" t="n"/>
    </row>
    <row r="180">
      <c r="A180" s="5" t="n"/>
      <c r="B180" s="5">
        <f>IF(A180="","",TEXT(A180,"ddd"))</f>
        <v/>
      </c>
      <c r="C180" s="5" t="n"/>
      <c r="D180" s="5" t="n"/>
      <c r="E180" s="5">
        <f>IF(AND(C180="",D180=""),"",C180+D180)</f>
        <v/>
      </c>
      <c r="F180" s="25" t="n"/>
      <c r="G180" s="25" t="n"/>
      <c r="H180" s="26">
        <f>IF(OR(F180="",F180=0),"",G180/F180)</f>
        <v/>
      </c>
      <c r="I180" s="30">
        <f>IF(OR(E180="",E180=0),"",F180/E180)</f>
        <v/>
      </c>
      <c r="J180" s="5" t="n"/>
      <c r="K180" s="25" t="n"/>
      <c r="L180" s="5" t="n"/>
    </row>
    <row r="181">
      <c r="A181" s="5" t="n"/>
      <c r="B181" s="5">
        <f>IF(A181="","",TEXT(A181,"ddd"))</f>
        <v/>
      </c>
      <c r="C181" s="5" t="n"/>
      <c r="D181" s="5" t="n"/>
      <c r="E181" s="5">
        <f>IF(AND(C181="",D181=""),"",C181+D181)</f>
        <v/>
      </c>
      <c r="F181" s="25" t="n"/>
      <c r="G181" s="25" t="n"/>
      <c r="H181" s="26">
        <f>IF(OR(F181="",F181=0),"",G181/F181)</f>
        <v/>
      </c>
      <c r="I181" s="30">
        <f>IF(OR(E181="",E181=0),"",F181/E181)</f>
        <v/>
      </c>
      <c r="J181" s="5" t="n"/>
      <c r="K181" s="25" t="n"/>
      <c r="L181" s="5" t="n"/>
    </row>
    <row r="182">
      <c r="A182" s="5" t="n"/>
      <c r="B182" s="5">
        <f>IF(A182="","",TEXT(A182,"ddd"))</f>
        <v/>
      </c>
      <c r="C182" s="5" t="n"/>
      <c r="D182" s="5" t="n"/>
      <c r="E182" s="5">
        <f>IF(AND(C182="",D182=""),"",C182+D182)</f>
        <v/>
      </c>
      <c r="F182" s="25" t="n"/>
      <c r="G182" s="25" t="n"/>
      <c r="H182" s="26">
        <f>IF(OR(F182="",F182=0),"",G182/F182)</f>
        <v/>
      </c>
      <c r="I182" s="30">
        <f>IF(OR(E182="",E182=0),"",F182/E182)</f>
        <v/>
      </c>
      <c r="J182" s="5" t="n"/>
      <c r="K182" s="25" t="n"/>
      <c r="L182" s="5" t="n"/>
    </row>
    <row r="183">
      <c r="A183" s="5" t="n"/>
      <c r="B183" s="5">
        <f>IF(A183="","",TEXT(A183,"ddd"))</f>
        <v/>
      </c>
      <c r="C183" s="5" t="n"/>
      <c r="D183" s="5" t="n"/>
      <c r="E183" s="5">
        <f>IF(AND(C183="",D183=""),"",C183+D183)</f>
        <v/>
      </c>
      <c r="F183" s="25" t="n"/>
      <c r="G183" s="25" t="n"/>
      <c r="H183" s="26">
        <f>IF(OR(F183="",F183=0),"",G183/F183)</f>
        <v/>
      </c>
      <c r="I183" s="30">
        <f>IF(OR(E183="",E183=0),"",F183/E183)</f>
        <v/>
      </c>
      <c r="J183" s="5" t="n"/>
      <c r="K183" s="25" t="n"/>
      <c r="L183" s="5" t="n"/>
    </row>
    <row r="184">
      <c r="A184" s="5" t="n"/>
      <c r="B184" s="5">
        <f>IF(A184="","",TEXT(A184,"ddd"))</f>
        <v/>
      </c>
      <c r="C184" s="5" t="n"/>
      <c r="D184" s="5" t="n"/>
      <c r="E184" s="5">
        <f>IF(AND(C184="",D184=""),"",C184+D184)</f>
        <v/>
      </c>
      <c r="F184" s="25" t="n"/>
      <c r="G184" s="25" t="n"/>
      <c r="H184" s="26">
        <f>IF(OR(F184="",F184=0),"",G184/F184)</f>
        <v/>
      </c>
      <c r="I184" s="30">
        <f>IF(OR(E184="",E184=0),"",F184/E184)</f>
        <v/>
      </c>
      <c r="J184" s="5" t="n"/>
      <c r="K184" s="25" t="n"/>
      <c r="L184" s="5" t="n"/>
    </row>
    <row r="185">
      <c r="A185" s="5" t="n"/>
      <c r="B185" s="5">
        <f>IF(A185="","",TEXT(A185,"ddd"))</f>
        <v/>
      </c>
      <c r="C185" s="5" t="n"/>
      <c r="D185" s="5" t="n"/>
      <c r="E185" s="5">
        <f>IF(AND(C185="",D185=""),"",C185+D185)</f>
        <v/>
      </c>
      <c r="F185" s="25" t="n"/>
      <c r="G185" s="25" t="n"/>
      <c r="H185" s="26">
        <f>IF(OR(F185="",F185=0),"",G185/F185)</f>
        <v/>
      </c>
      <c r="I185" s="30">
        <f>IF(OR(E185="",E185=0),"",F185/E185)</f>
        <v/>
      </c>
      <c r="J185" s="5" t="n"/>
      <c r="K185" s="25" t="n"/>
      <c r="L185" s="5" t="n"/>
    </row>
    <row r="186">
      <c r="A186" s="5" t="n"/>
      <c r="B186" s="5">
        <f>IF(A186="","",TEXT(A186,"ddd"))</f>
        <v/>
      </c>
      <c r="C186" s="5" t="n"/>
      <c r="D186" s="5" t="n"/>
      <c r="E186" s="5">
        <f>IF(AND(C186="",D186=""),"",C186+D186)</f>
        <v/>
      </c>
      <c r="F186" s="25" t="n"/>
      <c r="G186" s="25" t="n"/>
      <c r="H186" s="26">
        <f>IF(OR(F186="",F186=0),"",G186/F186)</f>
        <v/>
      </c>
      <c r="I186" s="30">
        <f>IF(OR(E186="",E186=0),"",F186/E186)</f>
        <v/>
      </c>
      <c r="J186" s="5" t="n"/>
      <c r="K186" s="25" t="n"/>
      <c r="L186" s="5" t="n"/>
    </row>
    <row r="187">
      <c r="A187" s="5" t="n"/>
      <c r="B187" s="5">
        <f>IF(A187="","",TEXT(A187,"ddd"))</f>
        <v/>
      </c>
      <c r="C187" s="5" t="n"/>
      <c r="D187" s="5" t="n"/>
      <c r="E187" s="5">
        <f>IF(AND(C187="",D187=""),"",C187+D187)</f>
        <v/>
      </c>
      <c r="F187" s="25" t="n"/>
      <c r="G187" s="25" t="n"/>
      <c r="H187" s="26">
        <f>IF(OR(F187="",F187=0),"",G187/F187)</f>
        <v/>
      </c>
      <c r="I187" s="30">
        <f>IF(OR(E187="",E187=0),"",F187/E187)</f>
        <v/>
      </c>
      <c r="J187" s="5" t="n"/>
      <c r="K187" s="25" t="n"/>
      <c r="L187" s="5" t="n"/>
    </row>
    <row r="188">
      <c r="A188" s="5" t="n"/>
      <c r="B188" s="5">
        <f>IF(A188="","",TEXT(A188,"ddd"))</f>
        <v/>
      </c>
      <c r="C188" s="5" t="n"/>
      <c r="D188" s="5" t="n"/>
      <c r="E188" s="5">
        <f>IF(AND(C188="",D188=""),"",C188+D188)</f>
        <v/>
      </c>
      <c r="F188" s="25" t="n"/>
      <c r="G188" s="25" t="n"/>
      <c r="H188" s="26">
        <f>IF(OR(F188="",F188=0),"",G188/F188)</f>
        <v/>
      </c>
      <c r="I188" s="30">
        <f>IF(OR(E188="",E188=0),"",F188/E188)</f>
        <v/>
      </c>
      <c r="J188" s="5" t="n"/>
      <c r="K188" s="25" t="n"/>
      <c r="L188" s="5" t="n"/>
    </row>
    <row r="189">
      <c r="A189" s="5" t="n"/>
      <c r="B189" s="5">
        <f>IF(A189="","",TEXT(A189,"ddd"))</f>
        <v/>
      </c>
      <c r="C189" s="5" t="n"/>
      <c r="D189" s="5" t="n"/>
      <c r="E189" s="5">
        <f>IF(AND(C189="",D189=""),"",C189+D189)</f>
        <v/>
      </c>
      <c r="F189" s="25" t="n"/>
      <c r="G189" s="25" t="n"/>
      <c r="H189" s="26">
        <f>IF(OR(F189="",F189=0),"",G189/F189)</f>
        <v/>
      </c>
      <c r="I189" s="30">
        <f>IF(OR(E189="",E189=0),"",F189/E189)</f>
        <v/>
      </c>
      <c r="J189" s="5" t="n"/>
      <c r="K189" s="25" t="n"/>
      <c r="L189" s="5" t="n"/>
    </row>
    <row r="190">
      <c r="A190" s="5" t="n"/>
      <c r="B190" s="5">
        <f>IF(A190="","",TEXT(A190,"ddd"))</f>
        <v/>
      </c>
      <c r="C190" s="5" t="n"/>
      <c r="D190" s="5" t="n"/>
      <c r="E190" s="5">
        <f>IF(AND(C190="",D190=""),"",C190+D190)</f>
        <v/>
      </c>
      <c r="F190" s="25" t="n"/>
      <c r="G190" s="25" t="n"/>
      <c r="H190" s="26">
        <f>IF(OR(F190="",F190=0),"",G190/F190)</f>
        <v/>
      </c>
      <c r="I190" s="30">
        <f>IF(OR(E190="",E190=0),"",F190/E190)</f>
        <v/>
      </c>
      <c r="J190" s="5" t="n"/>
      <c r="K190" s="25" t="n"/>
      <c r="L190" s="5" t="n"/>
    </row>
    <row r="191">
      <c r="A191" s="5" t="n"/>
      <c r="B191" s="5">
        <f>IF(A191="","",TEXT(A191,"ddd"))</f>
        <v/>
      </c>
      <c r="C191" s="5" t="n"/>
      <c r="D191" s="5" t="n"/>
      <c r="E191" s="5">
        <f>IF(AND(C191="",D191=""),"",C191+D191)</f>
        <v/>
      </c>
      <c r="F191" s="25" t="n"/>
      <c r="G191" s="25" t="n"/>
      <c r="H191" s="26">
        <f>IF(OR(F191="",F191=0),"",G191/F191)</f>
        <v/>
      </c>
      <c r="I191" s="30">
        <f>IF(OR(E191="",E191=0),"",F191/E191)</f>
        <v/>
      </c>
      <c r="J191" s="5" t="n"/>
      <c r="K191" s="25" t="n"/>
      <c r="L191" s="5" t="n"/>
    </row>
    <row r="192">
      <c r="A192" s="5" t="n"/>
      <c r="B192" s="5">
        <f>IF(A192="","",TEXT(A192,"ddd"))</f>
        <v/>
      </c>
      <c r="C192" s="5" t="n"/>
      <c r="D192" s="5" t="n"/>
      <c r="E192" s="5">
        <f>IF(AND(C192="",D192=""),"",C192+D192)</f>
        <v/>
      </c>
      <c r="F192" s="25" t="n"/>
      <c r="G192" s="25" t="n"/>
      <c r="H192" s="26">
        <f>IF(OR(F192="",F192=0),"",G192/F192)</f>
        <v/>
      </c>
      <c r="I192" s="30">
        <f>IF(OR(E192="",E192=0),"",F192/E192)</f>
        <v/>
      </c>
      <c r="J192" s="5" t="n"/>
      <c r="K192" s="25" t="n"/>
      <c r="L192" s="5" t="n"/>
    </row>
    <row r="193">
      <c r="A193" s="5" t="n"/>
      <c r="B193" s="5">
        <f>IF(A193="","",TEXT(A193,"ddd"))</f>
        <v/>
      </c>
      <c r="C193" s="5" t="n"/>
      <c r="D193" s="5" t="n"/>
      <c r="E193" s="5">
        <f>IF(AND(C193="",D193=""),"",C193+D193)</f>
        <v/>
      </c>
      <c r="F193" s="25" t="n"/>
      <c r="G193" s="25" t="n"/>
      <c r="H193" s="26">
        <f>IF(OR(F193="",F193=0),"",G193/F193)</f>
        <v/>
      </c>
      <c r="I193" s="30">
        <f>IF(OR(E193="",E193=0),"",F193/E193)</f>
        <v/>
      </c>
      <c r="J193" s="5" t="n"/>
      <c r="K193" s="25" t="n"/>
      <c r="L193" s="5" t="n"/>
    </row>
    <row r="194">
      <c r="A194" s="5" t="n"/>
      <c r="B194" s="5">
        <f>IF(A194="","",TEXT(A194,"ddd"))</f>
        <v/>
      </c>
      <c r="C194" s="5" t="n"/>
      <c r="D194" s="5" t="n"/>
      <c r="E194" s="5">
        <f>IF(AND(C194="",D194=""),"",C194+D194)</f>
        <v/>
      </c>
      <c r="F194" s="25" t="n"/>
      <c r="G194" s="25" t="n"/>
      <c r="H194" s="26">
        <f>IF(OR(F194="",F194=0),"",G194/F194)</f>
        <v/>
      </c>
      <c r="I194" s="30">
        <f>IF(OR(E194="",E194=0),"",F194/E194)</f>
        <v/>
      </c>
      <c r="J194" s="5" t="n"/>
      <c r="K194" s="25" t="n"/>
      <c r="L194" s="5" t="n"/>
    </row>
    <row r="195">
      <c r="A195" s="5" t="n"/>
      <c r="B195" s="5">
        <f>IF(A195="","",TEXT(A195,"ddd"))</f>
        <v/>
      </c>
      <c r="C195" s="5" t="n"/>
      <c r="D195" s="5" t="n"/>
      <c r="E195" s="5">
        <f>IF(AND(C195="",D195=""),"",C195+D195)</f>
        <v/>
      </c>
      <c r="F195" s="25" t="n"/>
      <c r="G195" s="25" t="n"/>
      <c r="H195" s="26">
        <f>IF(OR(F195="",F195=0),"",G195/F195)</f>
        <v/>
      </c>
      <c r="I195" s="30">
        <f>IF(OR(E195="",E195=0),"",F195/E195)</f>
        <v/>
      </c>
      <c r="J195" s="5" t="n"/>
      <c r="K195" s="25" t="n"/>
      <c r="L195" s="5" t="n"/>
    </row>
    <row r="196">
      <c r="A196" s="5" t="n"/>
      <c r="B196" s="5">
        <f>IF(A196="","",TEXT(A196,"ddd"))</f>
        <v/>
      </c>
      <c r="C196" s="5" t="n"/>
      <c r="D196" s="5" t="n"/>
      <c r="E196" s="5">
        <f>IF(AND(C196="",D196=""),"",C196+D196)</f>
        <v/>
      </c>
      <c r="F196" s="25" t="n"/>
      <c r="G196" s="25" t="n"/>
      <c r="H196" s="26">
        <f>IF(OR(F196="",F196=0),"",G196/F196)</f>
        <v/>
      </c>
      <c r="I196" s="30">
        <f>IF(OR(E196="",E196=0),"",F196/E196)</f>
        <v/>
      </c>
      <c r="J196" s="5" t="n"/>
      <c r="K196" s="25" t="n"/>
      <c r="L196" s="5" t="n"/>
    </row>
    <row r="197">
      <c r="A197" s="5" t="n"/>
      <c r="B197" s="5">
        <f>IF(A197="","",TEXT(A197,"ddd"))</f>
        <v/>
      </c>
      <c r="C197" s="5" t="n"/>
      <c r="D197" s="5" t="n"/>
      <c r="E197" s="5">
        <f>IF(AND(C197="",D197=""),"",C197+D197)</f>
        <v/>
      </c>
      <c r="F197" s="25" t="n"/>
      <c r="G197" s="25" t="n"/>
      <c r="H197" s="26">
        <f>IF(OR(F197="",F197=0),"",G197/F197)</f>
        <v/>
      </c>
      <c r="I197" s="30">
        <f>IF(OR(E197="",E197=0),"",F197/E197)</f>
        <v/>
      </c>
      <c r="J197" s="5" t="n"/>
      <c r="K197" s="25" t="n"/>
      <c r="L197" s="5" t="n"/>
    </row>
    <row r="198">
      <c r="A198" s="5" t="n"/>
      <c r="B198" s="5">
        <f>IF(A198="","",TEXT(A198,"ddd"))</f>
        <v/>
      </c>
      <c r="C198" s="5" t="n"/>
      <c r="D198" s="5" t="n"/>
      <c r="E198" s="5">
        <f>IF(AND(C198="",D198=""),"",C198+D198)</f>
        <v/>
      </c>
      <c r="F198" s="25" t="n"/>
      <c r="G198" s="25" t="n"/>
      <c r="H198" s="26">
        <f>IF(OR(F198="",F198=0),"",G198/F198)</f>
        <v/>
      </c>
      <c r="I198" s="30">
        <f>IF(OR(E198="",E198=0),"",F198/E198)</f>
        <v/>
      </c>
      <c r="J198" s="5" t="n"/>
      <c r="K198" s="25" t="n"/>
      <c r="L198" s="5" t="n"/>
    </row>
    <row r="199">
      <c r="A199" s="5" t="n"/>
      <c r="B199" s="5">
        <f>IF(A199="","",TEXT(A199,"ddd"))</f>
        <v/>
      </c>
      <c r="C199" s="5" t="n"/>
      <c r="D199" s="5" t="n"/>
      <c r="E199" s="5">
        <f>IF(AND(C199="",D199=""),"",C199+D199)</f>
        <v/>
      </c>
      <c r="F199" s="25" t="n"/>
      <c r="G199" s="25" t="n"/>
      <c r="H199" s="26">
        <f>IF(OR(F199="",F199=0),"",G199/F199)</f>
        <v/>
      </c>
      <c r="I199" s="30">
        <f>IF(OR(E199="",E199=0),"",F199/E199)</f>
        <v/>
      </c>
      <c r="J199" s="5" t="n"/>
      <c r="K199" s="25" t="n"/>
      <c r="L199" s="5" t="n"/>
    </row>
    <row r="200">
      <c r="A200" s="5" t="n"/>
      <c r="B200" s="5">
        <f>IF(A200="","",TEXT(A200,"ddd"))</f>
        <v/>
      </c>
      <c r="C200" s="5" t="n"/>
      <c r="D200" s="5" t="n"/>
      <c r="E200" s="5">
        <f>IF(AND(C200="",D200=""),"",C200+D200)</f>
        <v/>
      </c>
      <c r="F200" s="25" t="n"/>
      <c r="G200" s="25" t="n"/>
      <c r="H200" s="26">
        <f>IF(OR(F200="",F200=0),"",G200/F200)</f>
        <v/>
      </c>
      <c r="I200" s="30">
        <f>IF(OR(E200="",E200=0),"",F200/E200)</f>
        <v/>
      </c>
      <c r="J200" s="5" t="n"/>
      <c r="K200" s="25" t="n"/>
      <c r="L200" s="5" t="n"/>
    </row>
    <row r="201">
      <c r="A201" s="5" t="n"/>
      <c r="B201" s="5">
        <f>IF(A201="","",TEXT(A201,"ddd"))</f>
        <v/>
      </c>
      <c r="C201" s="5" t="n"/>
      <c r="D201" s="5" t="n"/>
      <c r="E201" s="5">
        <f>IF(AND(C201="",D201=""),"",C201+D201)</f>
        <v/>
      </c>
      <c r="F201" s="25" t="n"/>
      <c r="G201" s="25" t="n"/>
      <c r="H201" s="26">
        <f>IF(OR(F201="",F201=0),"",G201/F201)</f>
        <v/>
      </c>
      <c r="I201" s="30">
        <f>IF(OR(E201="",E201=0),"",F201/E201)</f>
        <v/>
      </c>
      <c r="J201" s="5" t="n"/>
      <c r="K201" s="25" t="n"/>
      <c r="L201" s="5" t="n"/>
    </row>
    <row r="202">
      <c r="A202" s="5" t="n"/>
      <c r="B202" s="5">
        <f>IF(A202="","",TEXT(A202,"ddd"))</f>
        <v/>
      </c>
      <c r="C202" s="5" t="n"/>
      <c r="D202" s="5" t="n"/>
      <c r="E202" s="5">
        <f>IF(AND(C202="",D202=""),"",C202+D202)</f>
        <v/>
      </c>
      <c r="F202" s="25" t="n"/>
      <c r="G202" s="25" t="n"/>
      <c r="H202" s="26">
        <f>IF(OR(F202="",F202=0),"",G202/F202)</f>
        <v/>
      </c>
      <c r="I202" s="30">
        <f>IF(OR(E202="",E202=0),"",F202/E202)</f>
        <v/>
      </c>
      <c r="J202" s="5" t="n"/>
      <c r="K202" s="25" t="n"/>
      <c r="L202" s="5" t="n"/>
    </row>
    <row r="203">
      <c r="A203" s="5" t="n"/>
      <c r="B203" s="5">
        <f>IF(A203="","",TEXT(A203,"ddd"))</f>
        <v/>
      </c>
      <c r="C203" s="5" t="n"/>
      <c r="D203" s="5" t="n"/>
      <c r="E203" s="5">
        <f>IF(AND(C203="",D203=""),"",C203+D203)</f>
        <v/>
      </c>
      <c r="F203" s="25" t="n"/>
      <c r="G203" s="25" t="n"/>
      <c r="H203" s="26">
        <f>IF(OR(F203="",F203=0),"",G203/F203)</f>
        <v/>
      </c>
      <c r="I203" s="30">
        <f>IF(OR(E203="",E203=0),"",F203/E203)</f>
        <v/>
      </c>
      <c r="J203" s="5" t="n"/>
      <c r="K203" s="25" t="n"/>
      <c r="L203" s="5" t="n"/>
    </row>
    <row r="204">
      <c r="A204" s="5" t="n"/>
      <c r="B204" s="5">
        <f>IF(A204="","",TEXT(A204,"ddd"))</f>
        <v/>
      </c>
      <c r="C204" s="5" t="n"/>
      <c r="D204" s="5" t="n"/>
      <c r="E204" s="5">
        <f>IF(AND(C204="",D204=""),"",C204+D204)</f>
        <v/>
      </c>
      <c r="F204" s="25" t="n"/>
      <c r="G204" s="25" t="n"/>
      <c r="H204" s="26">
        <f>IF(OR(F204="",F204=0),"",G204/F204)</f>
        <v/>
      </c>
      <c r="I204" s="30">
        <f>IF(OR(E204="",E204=0),"",F204/E204)</f>
        <v/>
      </c>
      <c r="J204" s="5" t="n"/>
      <c r="K204" s="25" t="n"/>
      <c r="L204" s="5" t="n"/>
    </row>
    <row r="205">
      <c r="A205" s="5" t="n"/>
      <c r="B205" s="5">
        <f>IF(A205="","",TEXT(A205,"ddd"))</f>
        <v/>
      </c>
      <c r="C205" s="5" t="n"/>
      <c r="D205" s="5" t="n"/>
      <c r="E205" s="5">
        <f>IF(AND(C205="",D205=""),"",C205+D205)</f>
        <v/>
      </c>
      <c r="F205" s="25" t="n"/>
      <c r="G205" s="25" t="n"/>
      <c r="H205" s="26">
        <f>IF(OR(F205="",F205=0),"",G205/F205)</f>
        <v/>
      </c>
      <c r="I205" s="30">
        <f>IF(OR(E205="",E205=0),"",F205/E205)</f>
        <v/>
      </c>
      <c r="J205" s="5" t="n"/>
      <c r="K205" s="25" t="n"/>
      <c r="L205" s="5" t="n"/>
    </row>
    <row r="206">
      <c r="A206" s="5" t="n"/>
      <c r="B206" s="5">
        <f>IF(A206="","",TEXT(A206,"ddd"))</f>
        <v/>
      </c>
      <c r="C206" s="5" t="n"/>
      <c r="D206" s="5" t="n"/>
      <c r="E206" s="5">
        <f>IF(AND(C206="",D206=""),"",C206+D206)</f>
        <v/>
      </c>
      <c r="F206" s="25" t="n"/>
      <c r="G206" s="25" t="n"/>
      <c r="H206" s="26">
        <f>IF(OR(F206="",F206=0),"",G206/F206)</f>
        <v/>
      </c>
      <c r="I206" s="30">
        <f>IF(OR(E206="",E206=0),"",F206/E206)</f>
        <v/>
      </c>
      <c r="J206" s="5" t="n"/>
      <c r="K206" s="25" t="n"/>
      <c r="L206" s="5" t="n"/>
    </row>
    <row r="207">
      <c r="A207" s="5" t="n"/>
      <c r="B207" s="5">
        <f>IF(A207="","",TEXT(A207,"ddd"))</f>
        <v/>
      </c>
      <c r="C207" s="5" t="n"/>
      <c r="D207" s="5" t="n"/>
      <c r="E207" s="5">
        <f>IF(AND(C207="",D207=""),"",C207+D207)</f>
        <v/>
      </c>
      <c r="F207" s="25" t="n"/>
      <c r="G207" s="25" t="n"/>
      <c r="H207" s="26">
        <f>IF(OR(F207="",F207=0),"",G207/F207)</f>
        <v/>
      </c>
      <c r="I207" s="30">
        <f>IF(OR(E207="",E207=0),"",F207/E207)</f>
        <v/>
      </c>
      <c r="J207" s="5" t="n"/>
      <c r="K207" s="25" t="n"/>
      <c r="L207" s="5" t="n"/>
    </row>
    <row r="208">
      <c r="A208" s="5" t="n"/>
      <c r="B208" s="5">
        <f>IF(A208="","",TEXT(A208,"ddd"))</f>
        <v/>
      </c>
      <c r="C208" s="5" t="n"/>
      <c r="D208" s="5" t="n"/>
      <c r="E208" s="5">
        <f>IF(AND(C208="",D208=""),"",C208+D208)</f>
        <v/>
      </c>
      <c r="F208" s="25" t="n"/>
      <c r="G208" s="25" t="n"/>
      <c r="H208" s="26">
        <f>IF(OR(F208="",F208=0),"",G208/F208)</f>
        <v/>
      </c>
      <c r="I208" s="30">
        <f>IF(OR(E208="",E208=0),"",F208/E208)</f>
        <v/>
      </c>
      <c r="J208" s="5" t="n"/>
      <c r="K208" s="25" t="n"/>
      <c r="L208" s="5" t="n"/>
    </row>
    <row r="209">
      <c r="A209" s="5" t="n"/>
      <c r="B209" s="5">
        <f>IF(A209="","",TEXT(A209,"ddd"))</f>
        <v/>
      </c>
      <c r="C209" s="5" t="n"/>
      <c r="D209" s="5" t="n"/>
      <c r="E209" s="5">
        <f>IF(AND(C209="",D209=""),"",C209+D209)</f>
        <v/>
      </c>
      <c r="F209" s="25" t="n"/>
      <c r="G209" s="25" t="n"/>
      <c r="H209" s="26">
        <f>IF(OR(F209="",F209=0),"",G209/F209)</f>
        <v/>
      </c>
      <c r="I209" s="30">
        <f>IF(OR(E209="",E209=0),"",F209/E209)</f>
        <v/>
      </c>
      <c r="J209" s="5" t="n"/>
      <c r="K209" s="25" t="n"/>
      <c r="L209" s="5" t="n"/>
    </row>
    <row r="210">
      <c r="A210" s="5" t="n"/>
      <c r="B210" s="5">
        <f>IF(A210="","",TEXT(A210,"ddd"))</f>
        <v/>
      </c>
      <c r="C210" s="5" t="n"/>
      <c r="D210" s="5" t="n"/>
      <c r="E210" s="5">
        <f>IF(AND(C210="",D210=""),"",C210+D210)</f>
        <v/>
      </c>
      <c r="F210" s="25" t="n"/>
      <c r="G210" s="25" t="n"/>
      <c r="H210" s="26">
        <f>IF(OR(F210="",F210=0),"",G210/F210)</f>
        <v/>
      </c>
      <c r="I210" s="30">
        <f>IF(OR(E210="",E210=0),"",F210/E210)</f>
        <v/>
      </c>
      <c r="J210" s="5" t="n"/>
      <c r="K210" s="25" t="n"/>
      <c r="L210" s="5" t="n"/>
    </row>
    <row r="211">
      <c r="A211" s="5" t="n"/>
      <c r="B211" s="5">
        <f>IF(A211="","",TEXT(A211,"ddd"))</f>
        <v/>
      </c>
      <c r="C211" s="5" t="n"/>
      <c r="D211" s="5" t="n"/>
      <c r="E211" s="5">
        <f>IF(AND(C211="",D211=""),"",C211+D211)</f>
        <v/>
      </c>
      <c r="F211" s="25" t="n"/>
      <c r="G211" s="25" t="n"/>
      <c r="H211" s="26">
        <f>IF(OR(F211="",F211=0),"",G211/F211)</f>
        <v/>
      </c>
      <c r="I211" s="30">
        <f>IF(OR(E211="",E211=0),"",F211/E211)</f>
        <v/>
      </c>
      <c r="J211" s="5" t="n"/>
      <c r="K211" s="25" t="n"/>
      <c r="L211" s="5" t="n"/>
    </row>
    <row r="212">
      <c r="A212" s="5" t="n"/>
      <c r="B212" s="5">
        <f>IF(A212="","",TEXT(A212,"ddd"))</f>
        <v/>
      </c>
      <c r="C212" s="5" t="n"/>
      <c r="D212" s="5" t="n"/>
      <c r="E212" s="5">
        <f>IF(AND(C212="",D212=""),"",C212+D212)</f>
        <v/>
      </c>
      <c r="F212" s="25" t="n"/>
      <c r="G212" s="25" t="n"/>
      <c r="H212" s="26">
        <f>IF(OR(F212="",F212=0),"",G212/F212)</f>
        <v/>
      </c>
      <c r="I212" s="30">
        <f>IF(OR(E212="",E212=0),"",F212/E212)</f>
        <v/>
      </c>
      <c r="J212" s="5" t="n"/>
      <c r="K212" s="25" t="n"/>
      <c r="L212" s="5" t="n"/>
    </row>
    <row r="213">
      <c r="A213" s="5" t="n"/>
      <c r="B213" s="5">
        <f>IF(A213="","",TEXT(A213,"ddd"))</f>
        <v/>
      </c>
      <c r="C213" s="5" t="n"/>
      <c r="D213" s="5" t="n"/>
      <c r="E213" s="5">
        <f>IF(AND(C213="",D213=""),"",C213+D213)</f>
        <v/>
      </c>
      <c r="F213" s="25" t="n"/>
      <c r="G213" s="25" t="n"/>
      <c r="H213" s="26">
        <f>IF(OR(F213="",F213=0),"",G213/F213)</f>
        <v/>
      </c>
      <c r="I213" s="30">
        <f>IF(OR(E213="",E213=0),"",F213/E213)</f>
        <v/>
      </c>
      <c r="J213" s="5" t="n"/>
      <c r="K213" s="25" t="n"/>
      <c r="L213" s="5" t="n"/>
    </row>
    <row r="214">
      <c r="A214" s="5" t="n"/>
      <c r="B214" s="5">
        <f>IF(A214="","",TEXT(A214,"ddd"))</f>
        <v/>
      </c>
      <c r="C214" s="5" t="n"/>
      <c r="D214" s="5" t="n"/>
      <c r="E214" s="5">
        <f>IF(AND(C214="",D214=""),"",C214+D214)</f>
        <v/>
      </c>
      <c r="F214" s="25" t="n"/>
      <c r="G214" s="25" t="n"/>
      <c r="H214" s="26">
        <f>IF(OR(F214="",F214=0),"",G214/F214)</f>
        <v/>
      </c>
      <c r="I214" s="30">
        <f>IF(OR(E214="",E214=0),"",F214/E214)</f>
        <v/>
      </c>
      <c r="J214" s="5" t="n"/>
      <c r="K214" s="25" t="n"/>
      <c r="L214" s="5" t="n"/>
    </row>
    <row r="215">
      <c r="A215" s="5" t="n"/>
      <c r="B215" s="5">
        <f>IF(A215="","",TEXT(A215,"ddd"))</f>
        <v/>
      </c>
      <c r="C215" s="5" t="n"/>
      <c r="D215" s="5" t="n"/>
      <c r="E215" s="5">
        <f>IF(AND(C215="",D215=""),"",C215+D215)</f>
        <v/>
      </c>
      <c r="F215" s="25" t="n"/>
      <c r="G215" s="25" t="n"/>
      <c r="H215" s="26">
        <f>IF(OR(F215="",F215=0),"",G215/F215)</f>
        <v/>
      </c>
      <c r="I215" s="30">
        <f>IF(OR(E215="",E215=0),"",F215/E215)</f>
        <v/>
      </c>
      <c r="J215" s="5" t="n"/>
      <c r="K215" s="25" t="n"/>
      <c r="L215" s="5" t="n"/>
    </row>
    <row r="216">
      <c r="A216" s="5" t="n"/>
      <c r="B216" s="5">
        <f>IF(A216="","",TEXT(A216,"ddd"))</f>
        <v/>
      </c>
      <c r="C216" s="5" t="n"/>
      <c r="D216" s="5" t="n"/>
      <c r="E216" s="5">
        <f>IF(AND(C216="",D216=""),"",C216+D216)</f>
        <v/>
      </c>
      <c r="F216" s="25" t="n"/>
      <c r="G216" s="25" t="n"/>
      <c r="H216" s="26">
        <f>IF(OR(F216="",F216=0),"",G216/F216)</f>
        <v/>
      </c>
      <c r="I216" s="30">
        <f>IF(OR(E216="",E216=0),"",F216/E216)</f>
        <v/>
      </c>
      <c r="J216" s="5" t="n"/>
      <c r="K216" s="25" t="n"/>
      <c r="L216" s="5" t="n"/>
    </row>
    <row r="217">
      <c r="A217" s="5" t="n"/>
      <c r="B217" s="5">
        <f>IF(A217="","",TEXT(A217,"ddd"))</f>
        <v/>
      </c>
      <c r="C217" s="5" t="n"/>
      <c r="D217" s="5" t="n"/>
      <c r="E217" s="5">
        <f>IF(AND(C217="",D217=""),"",C217+D217)</f>
        <v/>
      </c>
      <c r="F217" s="25" t="n"/>
      <c r="G217" s="25" t="n"/>
      <c r="H217" s="26">
        <f>IF(OR(F217="",F217=0),"",G217/F217)</f>
        <v/>
      </c>
      <c r="I217" s="30">
        <f>IF(OR(E217="",E217=0),"",F217/E217)</f>
        <v/>
      </c>
      <c r="J217" s="5" t="n"/>
      <c r="K217" s="25" t="n"/>
      <c r="L217" s="5" t="n"/>
    </row>
    <row r="218">
      <c r="A218" s="5" t="n"/>
      <c r="B218" s="5">
        <f>IF(A218="","",TEXT(A218,"ddd"))</f>
        <v/>
      </c>
      <c r="C218" s="5" t="n"/>
      <c r="D218" s="5" t="n"/>
      <c r="E218" s="5">
        <f>IF(AND(C218="",D218=""),"",C218+D218)</f>
        <v/>
      </c>
      <c r="F218" s="25" t="n"/>
      <c r="G218" s="25" t="n"/>
      <c r="H218" s="26">
        <f>IF(OR(F218="",F218=0),"",G218/F218)</f>
        <v/>
      </c>
      <c r="I218" s="30">
        <f>IF(OR(E218="",E218=0),"",F218/E218)</f>
        <v/>
      </c>
      <c r="J218" s="5" t="n"/>
      <c r="K218" s="25" t="n"/>
      <c r="L218" s="5" t="n"/>
    </row>
    <row r="219">
      <c r="A219" s="5" t="n"/>
      <c r="B219" s="5">
        <f>IF(A219="","",TEXT(A219,"ddd"))</f>
        <v/>
      </c>
      <c r="C219" s="5" t="n"/>
      <c r="D219" s="5" t="n"/>
      <c r="E219" s="5">
        <f>IF(AND(C219="",D219=""),"",C219+D219)</f>
        <v/>
      </c>
      <c r="F219" s="25" t="n"/>
      <c r="G219" s="25" t="n"/>
      <c r="H219" s="26">
        <f>IF(OR(F219="",F219=0),"",G219/F219)</f>
        <v/>
      </c>
      <c r="I219" s="30">
        <f>IF(OR(E219="",E219=0),"",F219/E219)</f>
        <v/>
      </c>
      <c r="J219" s="5" t="n"/>
      <c r="K219" s="25" t="n"/>
      <c r="L219" s="5" t="n"/>
    </row>
    <row r="220">
      <c r="A220" s="5" t="n"/>
      <c r="B220" s="5">
        <f>IF(A220="","",TEXT(A220,"ddd"))</f>
        <v/>
      </c>
      <c r="C220" s="5" t="n"/>
      <c r="D220" s="5" t="n"/>
      <c r="E220" s="5">
        <f>IF(AND(C220="",D220=""),"",C220+D220)</f>
        <v/>
      </c>
      <c r="F220" s="25" t="n"/>
      <c r="G220" s="25" t="n"/>
      <c r="H220" s="26">
        <f>IF(OR(F220="",F220=0),"",G220/F220)</f>
        <v/>
      </c>
      <c r="I220" s="30">
        <f>IF(OR(E220="",E220=0),"",F220/E220)</f>
        <v/>
      </c>
      <c r="J220" s="5" t="n"/>
      <c r="K220" s="25" t="n"/>
      <c r="L220" s="5" t="n"/>
    </row>
    <row r="221">
      <c r="A221" s="5" t="n"/>
      <c r="B221" s="5">
        <f>IF(A221="","",TEXT(A221,"ddd"))</f>
        <v/>
      </c>
      <c r="C221" s="5" t="n"/>
      <c r="D221" s="5" t="n"/>
      <c r="E221" s="5">
        <f>IF(AND(C221="",D221=""),"",C221+D221)</f>
        <v/>
      </c>
      <c r="F221" s="25" t="n"/>
      <c r="G221" s="25" t="n"/>
      <c r="H221" s="26">
        <f>IF(OR(F221="",F221=0),"",G221/F221)</f>
        <v/>
      </c>
      <c r="I221" s="30">
        <f>IF(OR(E221="",E221=0),"",F221/E221)</f>
        <v/>
      </c>
      <c r="J221" s="5" t="n"/>
      <c r="K221" s="25" t="n"/>
      <c r="L221" s="5" t="n"/>
    </row>
    <row r="222">
      <c r="A222" s="5" t="n"/>
      <c r="B222" s="5">
        <f>IF(A222="","",TEXT(A222,"ddd"))</f>
        <v/>
      </c>
      <c r="C222" s="5" t="n"/>
      <c r="D222" s="5" t="n"/>
      <c r="E222" s="5">
        <f>IF(AND(C222="",D222=""),"",C222+D222)</f>
        <v/>
      </c>
      <c r="F222" s="25" t="n"/>
      <c r="G222" s="25" t="n"/>
      <c r="H222" s="26">
        <f>IF(OR(F222="",F222=0),"",G222/F222)</f>
        <v/>
      </c>
      <c r="I222" s="30">
        <f>IF(OR(E222="",E222=0),"",F222/E222)</f>
        <v/>
      </c>
      <c r="J222" s="5" t="n"/>
      <c r="K222" s="25" t="n"/>
      <c r="L222" s="5" t="n"/>
    </row>
    <row r="223">
      <c r="A223" s="5" t="n"/>
      <c r="B223" s="5">
        <f>IF(A223="","",TEXT(A223,"ddd"))</f>
        <v/>
      </c>
      <c r="C223" s="5" t="n"/>
      <c r="D223" s="5" t="n"/>
      <c r="E223" s="5">
        <f>IF(AND(C223="",D223=""),"",C223+D223)</f>
        <v/>
      </c>
      <c r="F223" s="25" t="n"/>
      <c r="G223" s="25" t="n"/>
      <c r="H223" s="26">
        <f>IF(OR(F223="",F223=0),"",G223/F223)</f>
        <v/>
      </c>
      <c r="I223" s="30">
        <f>IF(OR(E223="",E223=0),"",F223/E223)</f>
        <v/>
      </c>
      <c r="J223" s="5" t="n"/>
      <c r="K223" s="25" t="n"/>
      <c r="L223" s="5" t="n"/>
    </row>
    <row r="224">
      <c r="A224" s="5" t="n"/>
      <c r="B224" s="5">
        <f>IF(A224="","",TEXT(A224,"ddd"))</f>
        <v/>
      </c>
      <c r="C224" s="5" t="n"/>
      <c r="D224" s="5" t="n"/>
      <c r="E224" s="5">
        <f>IF(AND(C224="",D224=""),"",C224+D224)</f>
        <v/>
      </c>
      <c r="F224" s="25" t="n"/>
      <c r="G224" s="25" t="n"/>
      <c r="H224" s="26">
        <f>IF(OR(F224="",F224=0),"",G224/F224)</f>
        <v/>
      </c>
      <c r="I224" s="30">
        <f>IF(OR(E224="",E224=0),"",F224/E224)</f>
        <v/>
      </c>
      <c r="J224" s="5" t="n"/>
      <c r="K224" s="25" t="n"/>
      <c r="L224" s="5" t="n"/>
    </row>
    <row r="225">
      <c r="A225" s="5" t="n"/>
      <c r="B225" s="5">
        <f>IF(A225="","",TEXT(A225,"ddd"))</f>
        <v/>
      </c>
      <c r="C225" s="5" t="n"/>
      <c r="D225" s="5" t="n"/>
      <c r="E225" s="5">
        <f>IF(AND(C225="",D225=""),"",C225+D225)</f>
        <v/>
      </c>
      <c r="F225" s="25" t="n"/>
      <c r="G225" s="25" t="n"/>
      <c r="H225" s="26">
        <f>IF(OR(F225="",F225=0),"",G225/F225)</f>
        <v/>
      </c>
      <c r="I225" s="30">
        <f>IF(OR(E225="",E225=0),"",F225/E225)</f>
        <v/>
      </c>
      <c r="J225" s="5" t="n"/>
      <c r="K225" s="25" t="n"/>
      <c r="L225" s="5" t="n"/>
    </row>
    <row r="226">
      <c r="A226" s="5" t="n"/>
      <c r="B226" s="5">
        <f>IF(A226="","",TEXT(A226,"ddd"))</f>
        <v/>
      </c>
      <c r="C226" s="5" t="n"/>
      <c r="D226" s="5" t="n"/>
      <c r="E226" s="5">
        <f>IF(AND(C226="",D226=""),"",C226+D226)</f>
        <v/>
      </c>
      <c r="F226" s="25" t="n"/>
      <c r="G226" s="25" t="n"/>
      <c r="H226" s="26">
        <f>IF(OR(F226="",F226=0),"",G226/F226)</f>
        <v/>
      </c>
      <c r="I226" s="30">
        <f>IF(OR(E226="",E226=0),"",F226/E226)</f>
        <v/>
      </c>
      <c r="J226" s="5" t="n"/>
      <c r="K226" s="25" t="n"/>
      <c r="L226" s="5" t="n"/>
    </row>
    <row r="227">
      <c r="A227" s="5" t="n"/>
      <c r="B227" s="5">
        <f>IF(A227="","",TEXT(A227,"ddd"))</f>
        <v/>
      </c>
      <c r="C227" s="5" t="n"/>
      <c r="D227" s="5" t="n"/>
      <c r="E227" s="5">
        <f>IF(AND(C227="",D227=""),"",C227+D227)</f>
        <v/>
      </c>
      <c r="F227" s="25" t="n"/>
      <c r="G227" s="25" t="n"/>
      <c r="H227" s="26">
        <f>IF(OR(F227="",F227=0),"",G227/F227)</f>
        <v/>
      </c>
      <c r="I227" s="30">
        <f>IF(OR(E227="",E227=0),"",F227/E227)</f>
        <v/>
      </c>
      <c r="J227" s="5" t="n"/>
      <c r="K227" s="25" t="n"/>
      <c r="L227" s="5" t="n"/>
    </row>
    <row r="228">
      <c r="A228" s="5" t="n"/>
      <c r="B228" s="5">
        <f>IF(A228="","",TEXT(A228,"ddd"))</f>
        <v/>
      </c>
      <c r="C228" s="5" t="n"/>
      <c r="D228" s="5" t="n"/>
      <c r="E228" s="5">
        <f>IF(AND(C228="",D228=""),"",C228+D228)</f>
        <v/>
      </c>
      <c r="F228" s="25" t="n"/>
      <c r="G228" s="25" t="n"/>
      <c r="H228" s="26">
        <f>IF(OR(F228="",F228=0),"",G228/F228)</f>
        <v/>
      </c>
      <c r="I228" s="30">
        <f>IF(OR(E228="",E228=0),"",F228/E228)</f>
        <v/>
      </c>
      <c r="J228" s="5" t="n"/>
      <c r="K228" s="25" t="n"/>
      <c r="L228" s="5" t="n"/>
    </row>
    <row r="229">
      <c r="A229" s="5" t="n"/>
      <c r="B229" s="5">
        <f>IF(A229="","",TEXT(A229,"ddd"))</f>
        <v/>
      </c>
      <c r="C229" s="5" t="n"/>
      <c r="D229" s="5" t="n"/>
      <c r="E229" s="5">
        <f>IF(AND(C229="",D229=""),"",C229+D229)</f>
        <v/>
      </c>
      <c r="F229" s="25" t="n"/>
      <c r="G229" s="25" t="n"/>
      <c r="H229" s="26">
        <f>IF(OR(F229="",F229=0),"",G229/F229)</f>
        <v/>
      </c>
      <c r="I229" s="30">
        <f>IF(OR(E229="",E229=0),"",F229/E229)</f>
        <v/>
      </c>
      <c r="J229" s="5" t="n"/>
      <c r="K229" s="25" t="n"/>
      <c r="L229" s="5" t="n"/>
    </row>
    <row r="230">
      <c r="A230" s="5" t="n"/>
      <c r="B230" s="5">
        <f>IF(A230="","",TEXT(A230,"ddd"))</f>
        <v/>
      </c>
      <c r="C230" s="5" t="n"/>
      <c r="D230" s="5" t="n"/>
      <c r="E230" s="5">
        <f>IF(AND(C230="",D230=""),"",C230+D230)</f>
        <v/>
      </c>
      <c r="F230" s="25" t="n"/>
      <c r="G230" s="25" t="n"/>
      <c r="H230" s="26">
        <f>IF(OR(F230="",F230=0),"",G230/F230)</f>
        <v/>
      </c>
      <c r="I230" s="30">
        <f>IF(OR(E230="",E230=0),"",F230/E230)</f>
        <v/>
      </c>
      <c r="J230" s="5" t="n"/>
      <c r="K230" s="25" t="n"/>
      <c r="L230" s="5" t="n"/>
    </row>
    <row r="231">
      <c r="A231" s="5" t="n"/>
      <c r="B231" s="5">
        <f>IF(A231="","",TEXT(A231,"ddd"))</f>
        <v/>
      </c>
      <c r="C231" s="5" t="n"/>
      <c r="D231" s="5" t="n"/>
      <c r="E231" s="5">
        <f>IF(AND(C231="",D231=""),"",C231+D231)</f>
        <v/>
      </c>
      <c r="F231" s="25" t="n"/>
      <c r="G231" s="25" t="n"/>
      <c r="H231" s="26">
        <f>IF(OR(F231="",F231=0),"",G231/F231)</f>
        <v/>
      </c>
      <c r="I231" s="30">
        <f>IF(OR(E231="",E231=0),"",F231/E231)</f>
        <v/>
      </c>
      <c r="J231" s="5" t="n"/>
      <c r="K231" s="25" t="n"/>
      <c r="L231" s="5" t="n"/>
    </row>
    <row r="232">
      <c r="A232" s="5" t="n"/>
      <c r="B232" s="5">
        <f>IF(A232="","",TEXT(A232,"ddd"))</f>
        <v/>
      </c>
      <c r="C232" s="5" t="n"/>
      <c r="D232" s="5" t="n"/>
      <c r="E232" s="5">
        <f>IF(AND(C232="",D232=""),"",C232+D232)</f>
        <v/>
      </c>
      <c r="F232" s="25" t="n"/>
      <c r="G232" s="25" t="n"/>
      <c r="H232" s="26">
        <f>IF(OR(F232="",F232=0),"",G232/F232)</f>
        <v/>
      </c>
      <c r="I232" s="30">
        <f>IF(OR(E232="",E232=0),"",F232/E232)</f>
        <v/>
      </c>
      <c r="J232" s="5" t="n"/>
      <c r="K232" s="25" t="n"/>
      <c r="L232" s="5" t="n"/>
    </row>
    <row r="233">
      <c r="A233" s="5" t="n"/>
      <c r="B233" s="5">
        <f>IF(A233="","",TEXT(A233,"ddd"))</f>
        <v/>
      </c>
      <c r="C233" s="5" t="n"/>
      <c r="D233" s="5" t="n"/>
      <c r="E233" s="5">
        <f>IF(AND(C233="",D233=""),"",C233+D233)</f>
        <v/>
      </c>
      <c r="F233" s="25" t="n"/>
      <c r="G233" s="25" t="n"/>
      <c r="H233" s="26">
        <f>IF(OR(F233="",F233=0),"",G233/F233)</f>
        <v/>
      </c>
      <c r="I233" s="30">
        <f>IF(OR(E233="",E233=0),"",F233/E233)</f>
        <v/>
      </c>
      <c r="J233" s="5" t="n"/>
      <c r="K233" s="25" t="n"/>
      <c r="L233" s="5" t="n"/>
    </row>
    <row r="234">
      <c r="A234" s="5" t="n"/>
      <c r="B234" s="5">
        <f>IF(A234="","",TEXT(A234,"ddd"))</f>
        <v/>
      </c>
      <c r="C234" s="5" t="n"/>
      <c r="D234" s="5" t="n"/>
      <c r="E234" s="5">
        <f>IF(AND(C234="",D234=""),"",C234+D234)</f>
        <v/>
      </c>
      <c r="F234" s="25" t="n"/>
      <c r="G234" s="25" t="n"/>
      <c r="H234" s="26">
        <f>IF(OR(F234="",F234=0),"",G234/F234)</f>
        <v/>
      </c>
      <c r="I234" s="30">
        <f>IF(OR(E234="",E234=0),"",F234/E234)</f>
        <v/>
      </c>
      <c r="J234" s="5" t="n"/>
      <c r="K234" s="25" t="n"/>
      <c r="L234" s="5" t="n"/>
    </row>
    <row r="235">
      <c r="A235" s="5" t="n"/>
      <c r="B235" s="5">
        <f>IF(A235="","",TEXT(A235,"ddd"))</f>
        <v/>
      </c>
      <c r="C235" s="5" t="n"/>
      <c r="D235" s="5" t="n"/>
      <c r="E235" s="5">
        <f>IF(AND(C235="",D235=""),"",C235+D235)</f>
        <v/>
      </c>
      <c r="F235" s="25" t="n"/>
      <c r="G235" s="25" t="n"/>
      <c r="H235" s="26">
        <f>IF(OR(F235="",F235=0),"",G235/F235)</f>
        <v/>
      </c>
      <c r="I235" s="30">
        <f>IF(OR(E235="",E235=0),"",F235/E235)</f>
        <v/>
      </c>
      <c r="J235" s="5" t="n"/>
      <c r="K235" s="25" t="n"/>
      <c r="L235" s="5" t="n"/>
    </row>
    <row r="236">
      <c r="A236" s="5" t="n"/>
      <c r="B236" s="5">
        <f>IF(A236="","",TEXT(A236,"ddd"))</f>
        <v/>
      </c>
      <c r="C236" s="5" t="n"/>
      <c r="D236" s="5" t="n"/>
      <c r="E236" s="5">
        <f>IF(AND(C236="",D236=""),"",C236+D236)</f>
        <v/>
      </c>
      <c r="F236" s="25" t="n"/>
      <c r="G236" s="25" t="n"/>
      <c r="H236" s="26">
        <f>IF(OR(F236="",F236=0),"",G236/F236)</f>
        <v/>
      </c>
      <c r="I236" s="30">
        <f>IF(OR(E236="",E236=0),"",F236/E236)</f>
        <v/>
      </c>
      <c r="J236" s="5" t="n"/>
      <c r="K236" s="25" t="n"/>
      <c r="L236" s="5" t="n"/>
    </row>
    <row r="237">
      <c r="A237" s="5" t="n"/>
      <c r="B237" s="5">
        <f>IF(A237="","",TEXT(A237,"ddd"))</f>
        <v/>
      </c>
      <c r="C237" s="5" t="n"/>
      <c r="D237" s="5" t="n"/>
      <c r="E237" s="5">
        <f>IF(AND(C237="",D237=""),"",C237+D237)</f>
        <v/>
      </c>
      <c r="F237" s="25" t="n"/>
      <c r="G237" s="25" t="n"/>
      <c r="H237" s="26">
        <f>IF(OR(F237="",F237=0),"",G237/F237)</f>
        <v/>
      </c>
      <c r="I237" s="30">
        <f>IF(OR(E237="",E237=0),"",F237/E237)</f>
        <v/>
      </c>
      <c r="J237" s="5" t="n"/>
      <c r="K237" s="25" t="n"/>
      <c r="L237" s="5" t="n"/>
    </row>
    <row r="238">
      <c r="A238" s="5" t="n"/>
      <c r="B238" s="5">
        <f>IF(A238="","",TEXT(A238,"ddd"))</f>
        <v/>
      </c>
      <c r="C238" s="5" t="n"/>
      <c r="D238" s="5" t="n"/>
      <c r="E238" s="5">
        <f>IF(AND(C238="",D238=""),"",C238+D238)</f>
        <v/>
      </c>
      <c r="F238" s="25" t="n"/>
      <c r="G238" s="25" t="n"/>
      <c r="H238" s="26">
        <f>IF(OR(F238="",F238=0),"",G238/F238)</f>
        <v/>
      </c>
      <c r="I238" s="30">
        <f>IF(OR(E238="",E238=0),"",F238/E238)</f>
        <v/>
      </c>
      <c r="J238" s="5" t="n"/>
      <c r="K238" s="25" t="n"/>
      <c r="L238" s="5" t="n"/>
    </row>
    <row r="239">
      <c r="A239" s="5" t="n"/>
      <c r="B239" s="5">
        <f>IF(A239="","",TEXT(A239,"ddd"))</f>
        <v/>
      </c>
      <c r="C239" s="5" t="n"/>
      <c r="D239" s="5" t="n"/>
      <c r="E239" s="5">
        <f>IF(AND(C239="",D239=""),"",C239+D239)</f>
        <v/>
      </c>
      <c r="F239" s="25" t="n"/>
      <c r="G239" s="25" t="n"/>
      <c r="H239" s="26">
        <f>IF(OR(F239="",F239=0),"",G239/F239)</f>
        <v/>
      </c>
      <c r="I239" s="30">
        <f>IF(OR(E239="",E239=0),"",F239/E239)</f>
        <v/>
      </c>
      <c r="J239" s="5" t="n"/>
      <c r="K239" s="25" t="n"/>
      <c r="L239" s="5" t="n"/>
    </row>
    <row r="240">
      <c r="A240" s="5" t="n"/>
      <c r="B240" s="5">
        <f>IF(A240="","",TEXT(A240,"ddd"))</f>
        <v/>
      </c>
      <c r="C240" s="5" t="n"/>
      <c r="D240" s="5" t="n"/>
      <c r="E240" s="5">
        <f>IF(AND(C240="",D240=""),"",C240+D240)</f>
        <v/>
      </c>
      <c r="F240" s="25" t="n"/>
      <c r="G240" s="25" t="n"/>
      <c r="H240" s="26">
        <f>IF(OR(F240="",F240=0),"",G240/F240)</f>
        <v/>
      </c>
      <c r="I240" s="30">
        <f>IF(OR(E240="",E240=0),"",F240/E240)</f>
        <v/>
      </c>
      <c r="J240" s="5" t="n"/>
      <c r="K240" s="25" t="n"/>
      <c r="L240" s="5" t="n"/>
    </row>
    <row r="241">
      <c r="A241" s="5" t="n"/>
      <c r="B241" s="5">
        <f>IF(A241="","",TEXT(A241,"ddd"))</f>
        <v/>
      </c>
      <c r="C241" s="5" t="n"/>
      <c r="D241" s="5" t="n"/>
      <c r="E241" s="5">
        <f>IF(AND(C241="",D241=""),"",C241+D241)</f>
        <v/>
      </c>
      <c r="F241" s="25" t="n"/>
      <c r="G241" s="25" t="n"/>
      <c r="H241" s="26">
        <f>IF(OR(F241="",F241=0),"",G241/F241)</f>
        <v/>
      </c>
      <c r="I241" s="30">
        <f>IF(OR(E241="",E241=0),"",F241/E241)</f>
        <v/>
      </c>
      <c r="J241" s="5" t="n"/>
      <c r="K241" s="25" t="n"/>
      <c r="L241" s="5" t="n"/>
    </row>
    <row r="242">
      <c r="A242" s="5" t="n"/>
      <c r="B242" s="5">
        <f>IF(A242="","",TEXT(A242,"ddd"))</f>
        <v/>
      </c>
      <c r="C242" s="5" t="n"/>
      <c r="D242" s="5" t="n"/>
      <c r="E242" s="5">
        <f>IF(AND(C242="",D242=""),"",C242+D242)</f>
        <v/>
      </c>
      <c r="F242" s="25" t="n"/>
      <c r="G242" s="25" t="n"/>
      <c r="H242" s="26">
        <f>IF(OR(F242="",F242=0),"",G242/F242)</f>
        <v/>
      </c>
      <c r="I242" s="30">
        <f>IF(OR(E242="",E242=0),"",F242/E242)</f>
        <v/>
      </c>
      <c r="J242" s="5" t="n"/>
      <c r="K242" s="25" t="n"/>
      <c r="L242" s="5" t="n"/>
    </row>
    <row r="243">
      <c r="A243" s="5" t="n"/>
      <c r="B243" s="5">
        <f>IF(A243="","",TEXT(A243,"ddd"))</f>
        <v/>
      </c>
      <c r="C243" s="5" t="n"/>
      <c r="D243" s="5" t="n"/>
      <c r="E243" s="5">
        <f>IF(AND(C243="",D243=""),"",C243+D243)</f>
        <v/>
      </c>
      <c r="F243" s="25" t="n"/>
      <c r="G243" s="25" t="n"/>
      <c r="H243" s="26">
        <f>IF(OR(F243="",F243=0),"",G243/F243)</f>
        <v/>
      </c>
      <c r="I243" s="30">
        <f>IF(OR(E243="",E243=0),"",F243/E243)</f>
        <v/>
      </c>
      <c r="J243" s="5" t="n"/>
      <c r="K243" s="25" t="n"/>
      <c r="L243" s="5" t="n"/>
    </row>
    <row r="244">
      <c r="A244" s="5" t="n"/>
      <c r="B244" s="5">
        <f>IF(A244="","",TEXT(A244,"ddd"))</f>
        <v/>
      </c>
      <c r="C244" s="5" t="n"/>
      <c r="D244" s="5" t="n"/>
      <c r="E244" s="5">
        <f>IF(AND(C244="",D244=""),"",C244+D244)</f>
        <v/>
      </c>
      <c r="F244" s="25" t="n"/>
      <c r="G244" s="25" t="n"/>
      <c r="H244" s="26">
        <f>IF(OR(F244="",F244=0),"",G244/F244)</f>
        <v/>
      </c>
      <c r="I244" s="30">
        <f>IF(OR(E244="",E244=0),"",F244/E244)</f>
        <v/>
      </c>
      <c r="J244" s="5" t="n"/>
      <c r="K244" s="25" t="n"/>
      <c r="L244" s="5" t="n"/>
    </row>
    <row r="245">
      <c r="A245" s="5" t="n"/>
      <c r="B245" s="5">
        <f>IF(A245="","",TEXT(A245,"ddd"))</f>
        <v/>
      </c>
      <c r="C245" s="5" t="n"/>
      <c r="D245" s="5" t="n"/>
      <c r="E245" s="5">
        <f>IF(AND(C245="",D245=""),"",C245+D245)</f>
        <v/>
      </c>
      <c r="F245" s="25" t="n"/>
      <c r="G245" s="25" t="n"/>
      <c r="H245" s="26">
        <f>IF(OR(F245="",F245=0),"",G245/F245)</f>
        <v/>
      </c>
      <c r="I245" s="30">
        <f>IF(OR(E245="",E245=0),"",F245/E245)</f>
        <v/>
      </c>
      <c r="J245" s="5" t="n"/>
      <c r="K245" s="25" t="n"/>
      <c r="L245" s="5" t="n"/>
    </row>
    <row r="246">
      <c r="A246" s="5" t="n"/>
      <c r="B246" s="5">
        <f>IF(A246="","",TEXT(A246,"ddd"))</f>
        <v/>
      </c>
      <c r="C246" s="5" t="n"/>
      <c r="D246" s="5" t="n"/>
      <c r="E246" s="5">
        <f>IF(AND(C246="",D246=""),"",C246+D246)</f>
        <v/>
      </c>
      <c r="F246" s="25" t="n"/>
      <c r="G246" s="25" t="n"/>
      <c r="H246" s="26">
        <f>IF(OR(F246="",F246=0),"",G246/F246)</f>
        <v/>
      </c>
      <c r="I246" s="30">
        <f>IF(OR(E246="",E246=0),"",F246/E246)</f>
        <v/>
      </c>
      <c r="J246" s="5" t="n"/>
      <c r="K246" s="25" t="n"/>
      <c r="L246" s="5" t="n"/>
    </row>
    <row r="247">
      <c r="A247" s="5" t="n"/>
      <c r="B247" s="5">
        <f>IF(A247="","",TEXT(A247,"ddd"))</f>
        <v/>
      </c>
      <c r="C247" s="5" t="n"/>
      <c r="D247" s="5" t="n"/>
      <c r="E247" s="5">
        <f>IF(AND(C247="",D247=""),"",C247+D247)</f>
        <v/>
      </c>
      <c r="F247" s="25" t="n"/>
      <c r="G247" s="25" t="n"/>
      <c r="H247" s="26">
        <f>IF(OR(F247="",F247=0),"",G247/F247)</f>
        <v/>
      </c>
      <c r="I247" s="30">
        <f>IF(OR(E247="",E247=0),"",F247/E247)</f>
        <v/>
      </c>
      <c r="J247" s="5" t="n"/>
      <c r="K247" s="25" t="n"/>
      <c r="L247" s="5" t="n"/>
    </row>
    <row r="248">
      <c r="A248" s="5" t="n"/>
      <c r="B248" s="5">
        <f>IF(A248="","",TEXT(A248,"ddd"))</f>
        <v/>
      </c>
      <c r="C248" s="5" t="n"/>
      <c r="D248" s="5" t="n"/>
      <c r="E248" s="5">
        <f>IF(AND(C248="",D248=""),"",C248+D248)</f>
        <v/>
      </c>
      <c r="F248" s="25" t="n"/>
      <c r="G248" s="25" t="n"/>
      <c r="H248" s="26">
        <f>IF(OR(F248="",F248=0),"",G248/F248)</f>
        <v/>
      </c>
      <c r="I248" s="30">
        <f>IF(OR(E248="",E248=0),"",F248/E248)</f>
        <v/>
      </c>
      <c r="J248" s="5" t="n"/>
      <c r="K248" s="25" t="n"/>
      <c r="L248" s="5" t="n"/>
    </row>
    <row r="249">
      <c r="A249" s="5" t="n"/>
      <c r="B249" s="5">
        <f>IF(A249="","",TEXT(A249,"ddd"))</f>
        <v/>
      </c>
      <c r="C249" s="5" t="n"/>
      <c r="D249" s="5" t="n"/>
      <c r="E249" s="5">
        <f>IF(AND(C249="",D249=""),"",C249+D249)</f>
        <v/>
      </c>
      <c r="F249" s="25" t="n"/>
      <c r="G249" s="25" t="n"/>
      <c r="H249" s="26">
        <f>IF(OR(F249="",F249=0),"",G249/F249)</f>
        <v/>
      </c>
      <c r="I249" s="30">
        <f>IF(OR(E249="",E249=0),"",F249/E249)</f>
        <v/>
      </c>
      <c r="J249" s="5" t="n"/>
      <c r="K249" s="25" t="n"/>
      <c r="L249" s="5" t="n"/>
    </row>
    <row r="250">
      <c r="A250" s="5" t="n"/>
      <c r="B250" s="5">
        <f>IF(A250="","",TEXT(A250,"ddd"))</f>
        <v/>
      </c>
      <c r="C250" s="5" t="n"/>
      <c r="D250" s="5" t="n"/>
      <c r="E250" s="5">
        <f>IF(AND(C250="",D250=""),"",C250+D250)</f>
        <v/>
      </c>
      <c r="F250" s="25" t="n"/>
      <c r="G250" s="25" t="n"/>
      <c r="H250" s="26">
        <f>IF(OR(F250="",F250=0),"",G250/F250)</f>
        <v/>
      </c>
      <c r="I250" s="30">
        <f>IF(OR(E250="",E250=0),"",F250/E250)</f>
        <v/>
      </c>
      <c r="J250" s="5" t="n"/>
      <c r="K250" s="25" t="n"/>
      <c r="L250" s="5" t="n"/>
    </row>
    <row r="251">
      <c r="A251" s="5" t="n"/>
      <c r="B251" s="5">
        <f>IF(A251="","",TEXT(A251,"ddd"))</f>
        <v/>
      </c>
      <c r="C251" s="5" t="n"/>
      <c r="D251" s="5" t="n"/>
      <c r="E251" s="5">
        <f>IF(AND(C251="",D251=""),"",C251+D251)</f>
        <v/>
      </c>
      <c r="F251" s="25" t="n"/>
      <c r="G251" s="25" t="n"/>
      <c r="H251" s="26">
        <f>IF(OR(F251="",F251=0),"",G251/F251)</f>
        <v/>
      </c>
      <c r="I251" s="30">
        <f>IF(OR(E251="",E251=0),"",F251/E251)</f>
        <v/>
      </c>
      <c r="J251" s="5" t="n"/>
      <c r="K251" s="25" t="n"/>
      <c r="L251" s="5" t="n"/>
    </row>
    <row r="252">
      <c r="A252" s="5" t="n"/>
      <c r="B252" s="5">
        <f>IF(A252="","",TEXT(A252,"ddd"))</f>
        <v/>
      </c>
      <c r="C252" s="5" t="n"/>
      <c r="D252" s="5" t="n"/>
      <c r="E252" s="5">
        <f>IF(AND(C252="",D252=""),"",C252+D252)</f>
        <v/>
      </c>
      <c r="F252" s="25" t="n"/>
      <c r="G252" s="25" t="n"/>
      <c r="H252" s="26">
        <f>IF(OR(F252="",F252=0),"",G252/F252)</f>
        <v/>
      </c>
      <c r="I252" s="30">
        <f>IF(OR(E252="",E252=0),"",F252/E252)</f>
        <v/>
      </c>
      <c r="J252" s="5" t="n"/>
      <c r="K252" s="25" t="n"/>
      <c r="L252" s="5" t="n"/>
    </row>
    <row r="253">
      <c r="A253" s="5" t="n"/>
      <c r="B253" s="5">
        <f>IF(A253="","",TEXT(A253,"ddd"))</f>
        <v/>
      </c>
      <c r="C253" s="5" t="n"/>
      <c r="D253" s="5" t="n"/>
      <c r="E253" s="5">
        <f>IF(AND(C253="",D253=""),"",C253+D253)</f>
        <v/>
      </c>
      <c r="F253" s="25" t="n"/>
      <c r="G253" s="25" t="n"/>
      <c r="H253" s="26">
        <f>IF(OR(F253="",F253=0),"",G253/F253)</f>
        <v/>
      </c>
      <c r="I253" s="30">
        <f>IF(OR(E253="",E253=0),"",F253/E253)</f>
        <v/>
      </c>
      <c r="J253" s="5" t="n"/>
      <c r="K253" s="25" t="n"/>
      <c r="L253" s="5" t="n"/>
    </row>
    <row r="254">
      <c r="A254" s="5" t="n"/>
      <c r="B254" s="5">
        <f>IF(A254="","",TEXT(A254,"ddd"))</f>
        <v/>
      </c>
      <c r="C254" s="5" t="n"/>
      <c r="D254" s="5" t="n"/>
      <c r="E254" s="5">
        <f>IF(AND(C254="",D254=""),"",C254+D254)</f>
        <v/>
      </c>
      <c r="F254" s="25" t="n"/>
      <c r="G254" s="25" t="n"/>
      <c r="H254" s="26">
        <f>IF(OR(F254="",F254=0),"",G254/F254)</f>
        <v/>
      </c>
      <c r="I254" s="30">
        <f>IF(OR(E254="",E254=0),"",F254/E254)</f>
        <v/>
      </c>
      <c r="J254" s="5" t="n"/>
      <c r="K254" s="25" t="n"/>
      <c r="L254" s="5" t="n"/>
    </row>
    <row r="255">
      <c r="A255" s="5" t="n"/>
      <c r="B255" s="5">
        <f>IF(A255="","",TEXT(A255,"ddd"))</f>
        <v/>
      </c>
      <c r="C255" s="5" t="n"/>
      <c r="D255" s="5" t="n"/>
      <c r="E255" s="5">
        <f>IF(AND(C255="",D255=""),"",C255+D255)</f>
        <v/>
      </c>
      <c r="F255" s="25" t="n"/>
      <c r="G255" s="25" t="n"/>
      <c r="H255" s="26">
        <f>IF(OR(F255="",F255=0),"",G255/F255)</f>
        <v/>
      </c>
      <c r="I255" s="30">
        <f>IF(OR(E255="",E255=0),"",F255/E255)</f>
        <v/>
      </c>
      <c r="J255" s="5" t="n"/>
      <c r="K255" s="25" t="n"/>
      <c r="L255" s="5" t="n"/>
    </row>
    <row r="256">
      <c r="A256" s="5" t="n"/>
      <c r="B256" s="5">
        <f>IF(A256="","",TEXT(A256,"ddd"))</f>
        <v/>
      </c>
      <c r="C256" s="5" t="n"/>
      <c r="D256" s="5" t="n"/>
      <c r="E256" s="5">
        <f>IF(AND(C256="",D256=""),"",C256+D256)</f>
        <v/>
      </c>
      <c r="F256" s="25" t="n"/>
      <c r="G256" s="25" t="n"/>
      <c r="H256" s="26">
        <f>IF(OR(F256="",F256=0),"",G256/F256)</f>
        <v/>
      </c>
      <c r="I256" s="30">
        <f>IF(OR(E256="",E256=0),"",F256/E256)</f>
        <v/>
      </c>
      <c r="J256" s="5" t="n"/>
      <c r="K256" s="25" t="n"/>
      <c r="L256" s="5" t="n"/>
    </row>
    <row r="257">
      <c r="A257" s="5" t="n"/>
      <c r="B257" s="5">
        <f>IF(A257="","",TEXT(A257,"ddd"))</f>
        <v/>
      </c>
      <c r="C257" s="5" t="n"/>
      <c r="D257" s="5" t="n"/>
      <c r="E257" s="5">
        <f>IF(AND(C257="",D257=""),"",C257+D257)</f>
        <v/>
      </c>
      <c r="F257" s="25" t="n"/>
      <c r="G257" s="25" t="n"/>
      <c r="H257" s="26">
        <f>IF(OR(F257="",F257=0),"",G257/F257)</f>
        <v/>
      </c>
      <c r="I257" s="30">
        <f>IF(OR(E257="",E257=0),"",F257/E257)</f>
        <v/>
      </c>
      <c r="J257" s="5" t="n"/>
      <c r="K257" s="25" t="n"/>
      <c r="L257" s="5" t="n"/>
    </row>
    <row r="258">
      <c r="A258" s="5" t="n"/>
      <c r="B258" s="5">
        <f>IF(A258="","",TEXT(A258,"ddd"))</f>
        <v/>
      </c>
      <c r="C258" s="5" t="n"/>
      <c r="D258" s="5" t="n"/>
      <c r="E258" s="5">
        <f>IF(AND(C258="",D258=""),"",C258+D258)</f>
        <v/>
      </c>
      <c r="F258" s="25" t="n"/>
      <c r="G258" s="25" t="n"/>
      <c r="H258" s="26">
        <f>IF(OR(F258="",F258=0),"",G258/F258)</f>
        <v/>
      </c>
      <c r="I258" s="30">
        <f>IF(OR(E258="",E258=0),"",F258/E258)</f>
        <v/>
      </c>
      <c r="J258" s="5" t="n"/>
      <c r="K258" s="25" t="n"/>
      <c r="L258" s="5" t="n"/>
    </row>
    <row r="259">
      <c r="A259" s="5" t="n"/>
      <c r="B259" s="5">
        <f>IF(A259="","",TEXT(A259,"ddd"))</f>
        <v/>
      </c>
      <c r="C259" s="5" t="n"/>
      <c r="D259" s="5" t="n"/>
      <c r="E259" s="5">
        <f>IF(AND(C259="",D259=""),"",C259+D259)</f>
        <v/>
      </c>
      <c r="F259" s="25" t="n"/>
      <c r="G259" s="25" t="n"/>
      <c r="H259" s="26">
        <f>IF(OR(F259="",F259=0),"",G259/F259)</f>
        <v/>
      </c>
      <c r="I259" s="30">
        <f>IF(OR(E259="",E259=0),"",F259/E259)</f>
        <v/>
      </c>
      <c r="J259" s="5" t="n"/>
      <c r="K259" s="25" t="n"/>
      <c r="L259" s="5" t="n"/>
    </row>
    <row r="260">
      <c r="A260" s="5" t="n"/>
      <c r="B260" s="5">
        <f>IF(A260="","",TEXT(A260,"ddd"))</f>
        <v/>
      </c>
      <c r="C260" s="5" t="n"/>
      <c r="D260" s="5" t="n"/>
      <c r="E260" s="5">
        <f>IF(AND(C260="",D260=""),"",C260+D260)</f>
        <v/>
      </c>
      <c r="F260" s="25" t="n"/>
      <c r="G260" s="25" t="n"/>
      <c r="H260" s="26">
        <f>IF(OR(F260="",F260=0),"",G260/F260)</f>
        <v/>
      </c>
      <c r="I260" s="30">
        <f>IF(OR(E260="",E260=0),"",F260/E260)</f>
        <v/>
      </c>
      <c r="J260" s="5" t="n"/>
      <c r="K260" s="25" t="n"/>
      <c r="L260" s="5" t="n"/>
    </row>
    <row r="261">
      <c r="A261" s="5" t="n"/>
      <c r="B261" s="5">
        <f>IF(A261="","",TEXT(A261,"ddd"))</f>
        <v/>
      </c>
      <c r="C261" s="5" t="n"/>
      <c r="D261" s="5" t="n"/>
      <c r="E261" s="5">
        <f>IF(AND(C261="",D261=""),"",C261+D261)</f>
        <v/>
      </c>
      <c r="F261" s="25" t="n"/>
      <c r="G261" s="25" t="n"/>
      <c r="H261" s="26">
        <f>IF(OR(F261="",F261=0),"",G261/F261)</f>
        <v/>
      </c>
      <c r="I261" s="30">
        <f>IF(OR(E261="",E261=0),"",F261/E261)</f>
        <v/>
      </c>
      <c r="J261" s="5" t="n"/>
      <c r="K261" s="25" t="n"/>
      <c r="L261" s="5" t="n"/>
    </row>
    <row r="262">
      <c r="A262" s="5" t="n"/>
      <c r="B262" s="5">
        <f>IF(A262="","",TEXT(A262,"ddd"))</f>
        <v/>
      </c>
      <c r="C262" s="5" t="n"/>
      <c r="D262" s="5" t="n"/>
      <c r="E262" s="5">
        <f>IF(AND(C262="",D262=""),"",C262+D262)</f>
        <v/>
      </c>
      <c r="F262" s="25" t="n"/>
      <c r="G262" s="25" t="n"/>
      <c r="H262" s="26">
        <f>IF(OR(F262="",F262=0),"",G262/F262)</f>
        <v/>
      </c>
      <c r="I262" s="30">
        <f>IF(OR(E262="",E262=0),"",F262/E262)</f>
        <v/>
      </c>
      <c r="J262" s="5" t="n"/>
      <c r="K262" s="25" t="n"/>
      <c r="L262" s="5" t="n"/>
    </row>
    <row r="263">
      <c r="A263" s="5" t="n"/>
      <c r="B263" s="5">
        <f>IF(A263="","",TEXT(A263,"ddd"))</f>
        <v/>
      </c>
      <c r="C263" s="5" t="n"/>
      <c r="D263" s="5" t="n"/>
      <c r="E263" s="5">
        <f>IF(AND(C263="",D263=""),"",C263+D263)</f>
        <v/>
      </c>
      <c r="F263" s="25" t="n"/>
      <c r="G263" s="25" t="n"/>
      <c r="H263" s="26">
        <f>IF(OR(F263="",F263=0),"",G263/F263)</f>
        <v/>
      </c>
      <c r="I263" s="30">
        <f>IF(OR(E263="",E263=0),"",F263/E263)</f>
        <v/>
      </c>
      <c r="J263" s="5" t="n"/>
      <c r="K263" s="25" t="n"/>
      <c r="L263" s="5" t="n"/>
    </row>
    <row r="264">
      <c r="A264" s="5" t="n"/>
      <c r="B264" s="5">
        <f>IF(A264="","",TEXT(A264,"ddd"))</f>
        <v/>
      </c>
      <c r="C264" s="5" t="n"/>
      <c r="D264" s="5" t="n"/>
      <c r="E264" s="5">
        <f>IF(AND(C264="",D264=""),"",C264+D264)</f>
        <v/>
      </c>
      <c r="F264" s="25" t="n"/>
      <c r="G264" s="25" t="n"/>
      <c r="H264" s="26">
        <f>IF(OR(F264="",F264=0),"",G264/F264)</f>
        <v/>
      </c>
      <c r="I264" s="30">
        <f>IF(OR(E264="",E264=0),"",F264/E264)</f>
        <v/>
      </c>
      <c r="J264" s="5" t="n"/>
      <c r="K264" s="25" t="n"/>
      <c r="L264" s="5" t="n"/>
    </row>
    <row r="265">
      <c r="A265" s="5" t="n"/>
      <c r="B265" s="5">
        <f>IF(A265="","",TEXT(A265,"ddd"))</f>
        <v/>
      </c>
      <c r="C265" s="5" t="n"/>
      <c r="D265" s="5" t="n"/>
      <c r="E265" s="5">
        <f>IF(AND(C265="",D265=""),"",C265+D265)</f>
        <v/>
      </c>
      <c r="F265" s="25" t="n"/>
      <c r="G265" s="25" t="n"/>
      <c r="H265" s="26">
        <f>IF(OR(F265="",F265=0),"",G265/F265)</f>
        <v/>
      </c>
      <c r="I265" s="30">
        <f>IF(OR(E265="",E265=0),"",F265/E265)</f>
        <v/>
      </c>
      <c r="J265" s="5" t="n"/>
      <c r="K265" s="25" t="n"/>
      <c r="L265" s="5" t="n"/>
    </row>
    <row r="266">
      <c r="A266" s="5" t="n"/>
      <c r="B266" s="5">
        <f>IF(A266="","",TEXT(A266,"ddd"))</f>
        <v/>
      </c>
      <c r="C266" s="5" t="n"/>
      <c r="D266" s="5" t="n"/>
      <c r="E266" s="5">
        <f>IF(AND(C266="",D266=""),"",C266+D266)</f>
        <v/>
      </c>
      <c r="F266" s="25" t="n"/>
      <c r="G266" s="25" t="n"/>
      <c r="H266" s="26">
        <f>IF(OR(F266="",F266=0),"",G266/F266)</f>
        <v/>
      </c>
      <c r="I266" s="30">
        <f>IF(OR(E266="",E266=0),"",F266/E266)</f>
        <v/>
      </c>
      <c r="J266" s="5" t="n"/>
      <c r="K266" s="25" t="n"/>
      <c r="L266" s="5" t="n"/>
    </row>
    <row r="267">
      <c r="A267" s="5" t="n"/>
      <c r="B267" s="5">
        <f>IF(A267="","",TEXT(A267,"ddd"))</f>
        <v/>
      </c>
      <c r="C267" s="5" t="n"/>
      <c r="D267" s="5" t="n"/>
      <c r="E267" s="5">
        <f>IF(AND(C267="",D267=""),"",C267+D267)</f>
        <v/>
      </c>
      <c r="F267" s="25" t="n"/>
      <c r="G267" s="25" t="n"/>
      <c r="H267" s="26">
        <f>IF(OR(F267="",F267=0),"",G267/F267)</f>
        <v/>
      </c>
      <c r="I267" s="30">
        <f>IF(OR(E267="",E267=0),"",F267/E267)</f>
        <v/>
      </c>
      <c r="J267" s="5" t="n"/>
      <c r="K267" s="25" t="n"/>
      <c r="L267" s="5" t="n"/>
    </row>
    <row r="268">
      <c r="A268" s="5" t="n"/>
      <c r="B268" s="5">
        <f>IF(A268="","",TEXT(A268,"ddd"))</f>
        <v/>
      </c>
      <c r="C268" s="5" t="n"/>
      <c r="D268" s="5" t="n"/>
      <c r="E268" s="5">
        <f>IF(AND(C268="",D268=""),"",C268+D268)</f>
        <v/>
      </c>
      <c r="F268" s="25" t="n"/>
      <c r="G268" s="25" t="n"/>
      <c r="H268" s="26">
        <f>IF(OR(F268="",F268=0),"",G268/F268)</f>
        <v/>
      </c>
      <c r="I268" s="30">
        <f>IF(OR(E268="",E268=0),"",F268/E268)</f>
        <v/>
      </c>
      <c r="J268" s="5" t="n"/>
      <c r="K268" s="25" t="n"/>
      <c r="L268" s="5" t="n"/>
    </row>
    <row r="269">
      <c r="A269" s="5" t="n"/>
      <c r="B269" s="5">
        <f>IF(A269="","",TEXT(A269,"ddd"))</f>
        <v/>
      </c>
      <c r="C269" s="5" t="n"/>
      <c r="D269" s="5" t="n"/>
      <c r="E269" s="5">
        <f>IF(AND(C269="",D269=""),"",C269+D269)</f>
        <v/>
      </c>
      <c r="F269" s="25" t="n"/>
      <c r="G269" s="25" t="n"/>
      <c r="H269" s="26">
        <f>IF(OR(F269="",F269=0),"",G269/F269)</f>
        <v/>
      </c>
      <c r="I269" s="30">
        <f>IF(OR(E269="",E269=0),"",F269/E269)</f>
        <v/>
      </c>
      <c r="J269" s="5" t="n"/>
      <c r="K269" s="25" t="n"/>
      <c r="L269" s="5" t="n"/>
    </row>
    <row r="270">
      <c r="A270" s="5" t="n"/>
      <c r="B270" s="5">
        <f>IF(A270="","",TEXT(A270,"ddd"))</f>
        <v/>
      </c>
      <c r="C270" s="5" t="n"/>
      <c r="D270" s="5" t="n"/>
      <c r="E270" s="5">
        <f>IF(AND(C270="",D270=""),"",C270+D270)</f>
        <v/>
      </c>
      <c r="F270" s="25" t="n"/>
      <c r="G270" s="25" t="n"/>
      <c r="H270" s="26">
        <f>IF(OR(F270="",F270=0),"",G270/F270)</f>
        <v/>
      </c>
      <c r="I270" s="30">
        <f>IF(OR(E270="",E270=0),"",F270/E270)</f>
        <v/>
      </c>
      <c r="J270" s="5" t="n"/>
      <c r="K270" s="25" t="n"/>
      <c r="L270" s="5" t="n"/>
    </row>
    <row r="271">
      <c r="A271" s="5" t="n"/>
      <c r="B271" s="5">
        <f>IF(A271="","",TEXT(A271,"ddd"))</f>
        <v/>
      </c>
      <c r="C271" s="5" t="n"/>
      <c r="D271" s="5" t="n"/>
      <c r="E271" s="5">
        <f>IF(AND(C271="",D271=""),"",C271+D271)</f>
        <v/>
      </c>
      <c r="F271" s="25" t="n"/>
      <c r="G271" s="25" t="n"/>
      <c r="H271" s="26">
        <f>IF(OR(F271="",F271=0),"",G271/F271)</f>
        <v/>
      </c>
      <c r="I271" s="30">
        <f>IF(OR(E271="",E271=0),"",F271/E271)</f>
        <v/>
      </c>
      <c r="J271" s="5" t="n"/>
      <c r="K271" s="25" t="n"/>
      <c r="L271" s="5" t="n"/>
    </row>
    <row r="272">
      <c r="A272" s="5" t="n"/>
      <c r="B272" s="5">
        <f>IF(A272="","",TEXT(A272,"ddd"))</f>
        <v/>
      </c>
      <c r="C272" s="5" t="n"/>
      <c r="D272" s="5" t="n"/>
      <c r="E272" s="5">
        <f>IF(AND(C272="",D272=""),"",C272+D272)</f>
        <v/>
      </c>
      <c r="F272" s="25" t="n"/>
      <c r="G272" s="25" t="n"/>
      <c r="H272" s="26">
        <f>IF(OR(F272="",F272=0),"",G272/F272)</f>
        <v/>
      </c>
      <c r="I272" s="30">
        <f>IF(OR(E272="",E272=0),"",F272/E272)</f>
        <v/>
      </c>
      <c r="J272" s="5" t="n"/>
      <c r="K272" s="25" t="n"/>
      <c r="L272" s="5" t="n"/>
    </row>
    <row r="273">
      <c r="A273" s="5" t="n"/>
      <c r="B273" s="5">
        <f>IF(A273="","",TEXT(A273,"ddd"))</f>
        <v/>
      </c>
      <c r="C273" s="5" t="n"/>
      <c r="D273" s="5" t="n"/>
      <c r="E273" s="5">
        <f>IF(AND(C273="",D273=""),"",C273+D273)</f>
        <v/>
      </c>
      <c r="F273" s="25" t="n"/>
      <c r="G273" s="25" t="n"/>
      <c r="H273" s="26">
        <f>IF(OR(F273="",F273=0),"",G273/F273)</f>
        <v/>
      </c>
      <c r="I273" s="30">
        <f>IF(OR(E273="",E273=0),"",F273/E273)</f>
        <v/>
      </c>
      <c r="J273" s="5" t="n"/>
      <c r="K273" s="25" t="n"/>
      <c r="L273" s="5" t="n"/>
    </row>
    <row r="274">
      <c r="A274" s="5" t="n"/>
      <c r="B274" s="5">
        <f>IF(A274="","",TEXT(A274,"ddd"))</f>
        <v/>
      </c>
      <c r="C274" s="5" t="n"/>
      <c r="D274" s="5" t="n"/>
      <c r="E274" s="5">
        <f>IF(AND(C274="",D274=""),"",C274+D274)</f>
        <v/>
      </c>
      <c r="F274" s="25" t="n"/>
      <c r="G274" s="25" t="n"/>
      <c r="H274" s="26">
        <f>IF(OR(F274="",F274=0),"",G274/F274)</f>
        <v/>
      </c>
      <c r="I274" s="30">
        <f>IF(OR(E274="",E274=0),"",F274/E274)</f>
        <v/>
      </c>
      <c r="J274" s="5" t="n"/>
      <c r="K274" s="25" t="n"/>
      <c r="L274" s="5" t="n"/>
    </row>
    <row r="275">
      <c r="A275" s="5" t="n"/>
      <c r="B275" s="5">
        <f>IF(A275="","",TEXT(A275,"ddd"))</f>
        <v/>
      </c>
      <c r="C275" s="5" t="n"/>
      <c r="D275" s="5" t="n"/>
      <c r="E275" s="5">
        <f>IF(AND(C275="",D275=""),"",C275+D275)</f>
        <v/>
      </c>
      <c r="F275" s="25" t="n"/>
      <c r="G275" s="25" t="n"/>
      <c r="H275" s="26">
        <f>IF(OR(F275="",F275=0),"",G275/F275)</f>
        <v/>
      </c>
      <c r="I275" s="30">
        <f>IF(OR(E275="",E275=0),"",F275/E275)</f>
        <v/>
      </c>
      <c r="J275" s="5" t="n"/>
      <c r="K275" s="25" t="n"/>
      <c r="L275" s="5" t="n"/>
    </row>
    <row r="276">
      <c r="A276" s="5" t="n"/>
      <c r="B276" s="5">
        <f>IF(A276="","",TEXT(A276,"ddd"))</f>
        <v/>
      </c>
      <c r="C276" s="5" t="n"/>
      <c r="D276" s="5" t="n"/>
      <c r="E276" s="5">
        <f>IF(AND(C276="",D276=""),"",C276+D276)</f>
        <v/>
      </c>
      <c r="F276" s="25" t="n"/>
      <c r="G276" s="25" t="n"/>
      <c r="H276" s="26">
        <f>IF(OR(F276="",F276=0),"",G276/F276)</f>
        <v/>
      </c>
      <c r="I276" s="30">
        <f>IF(OR(E276="",E276=0),"",F276/E276)</f>
        <v/>
      </c>
      <c r="J276" s="5" t="n"/>
      <c r="K276" s="25" t="n"/>
      <c r="L276" s="5" t="n"/>
    </row>
    <row r="277">
      <c r="A277" s="5" t="n"/>
      <c r="B277" s="5">
        <f>IF(A277="","",TEXT(A277,"ddd"))</f>
        <v/>
      </c>
      <c r="C277" s="5" t="n"/>
      <c r="D277" s="5" t="n"/>
      <c r="E277" s="5">
        <f>IF(AND(C277="",D277=""),"",C277+D277)</f>
        <v/>
      </c>
      <c r="F277" s="25" t="n"/>
      <c r="G277" s="25" t="n"/>
      <c r="H277" s="26">
        <f>IF(OR(F277="",F277=0),"",G277/F277)</f>
        <v/>
      </c>
      <c r="I277" s="30">
        <f>IF(OR(E277="",E277=0),"",F277/E277)</f>
        <v/>
      </c>
      <c r="J277" s="5" t="n"/>
      <c r="K277" s="25" t="n"/>
      <c r="L277" s="5" t="n"/>
    </row>
    <row r="278">
      <c r="A278" s="5" t="n"/>
      <c r="B278" s="5">
        <f>IF(A278="","",TEXT(A278,"ddd"))</f>
        <v/>
      </c>
      <c r="C278" s="5" t="n"/>
      <c r="D278" s="5" t="n"/>
      <c r="E278" s="5">
        <f>IF(AND(C278="",D278=""),"",C278+D278)</f>
        <v/>
      </c>
      <c r="F278" s="25" t="n"/>
      <c r="G278" s="25" t="n"/>
      <c r="H278" s="26">
        <f>IF(OR(F278="",F278=0),"",G278/F278)</f>
        <v/>
      </c>
      <c r="I278" s="30">
        <f>IF(OR(E278="",E278=0),"",F278/E278)</f>
        <v/>
      </c>
      <c r="J278" s="5" t="n"/>
      <c r="K278" s="25" t="n"/>
      <c r="L278" s="5" t="n"/>
    </row>
    <row r="279">
      <c r="A279" s="5" t="n"/>
      <c r="B279" s="5">
        <f>IF(A279="","",TEXT(A279,"ddd"))</f>
        <v/>
      </c>
      <c r="C279" s="5" t="n"/>
      <c r="D279" s="5" t="n"/>
      <c r="E279" s="5">
        <f>IF(AND(C279="",D279=""),"",C279+D279)</f>
        <v/>
      </c>
      <c r="F279" s="25" t="n"/>
      <c r="G279" s="25" t="n"/>
      <c r="H279" s="26">
        <f>IF(OR(F279="",F279=0),"",G279/F279)</f>
        <v/>
      </c>
      <c r="I279" s="30">
        <f>IF(OR(E279="",E279=0),"",F279/E279)</f>
        <v/>
      </c>
      <c r="J279" s="5" t="n"/>
      <c r="K279" s="25" t="n"/>
      <c r="L279" s="5" t="n"/>
    </row>
    <row r="280">
      <c r="A280" s="5" t="n"/>
      <c r="B280" s="5">
        <f>IF(A280="","",TEXT(A280,"ddd"))</f>
        <v/>
      </c>
      <c r="C280" s="5" t="n"/>
      <c r="D280" s="5" t="n"/>
      <c r="E280" s="5">
        <f>IF(AND(C280="",D280=""),"",C280+D280)</f>
        <v/>
      </c>
      <c r="F280" s="25" t="n"/>
      <c r="G280" s="25" t="n"/>
      <c r="H280" s="26">
        <f>IF(OR(F280="",F280=0),"",G280/F280)</f>
        <v/>
      </c>
      <c r="I280" s="30">
        <f>IF(OR(E280="",E280=0),"",F280/E280)</f>
        <v/>
      </c>
      <c r="J280" s="5" t="n"/>
      <c r="K280" s="25" t="n"/>
      <c r="L280" s="5" t="n"/>
    </row>
    <row r="281">
      <c r="A281" s="5" t="n"/>
      <c r="B281" s="5">
        <f>IF(A281="","",TEXT(A281,"ddd"))</f>
        <v/>
      </c>
      <c r="C281" s="5" t="n"/>
      <c r="D281" s="5" t="n"/>
      <c r="E281" s="5">
        <f>IF(AND(C281="",D281=""),"",C281+D281)</f>
        <v/>
      </c>
      <c r="F281" s="25" t="n"/>
      <c r="G281" s="25" t="n"/>
      <c r="H281" s="26">
        <f>IF(OR(F281="",F281=0),"",G281/F281)</f>
        <v/>
      </c>
      <c r="I281" s="30">
        <f>IF(OR(E281="",E281=0),"",F281/E281)</f>
        <v/>
      </c>
      <c r="J281" s="5" t="n"/>
      <c r="K281" s="25" t="n"/>
      <c r="L281" s="5" t="n"/>
    </row>
    <row r="282">
      <c r="A282" s="5" t="n"/>
      <c r="B282" s="5">
        <f>IF(A282="","",TEXT(A282,"ddd"))</f>
        <v/>
      </c>
      <c r="C282" s="5" t="n"/>
      <c r="D282" s="5" t="n"/>
      <c r="E282" s="5">
        <f>IF(AND(C282="",D282=""),"",C282+D282)</f>
        <v/>
      </c>
      <c r="F282" s="25" t="n"/>
      <c r="G282" s="25" t="n"/>
      <c r="H282" s="26">
        <f>IF(OR(F282="",F282=0),"",G282/F282)</f>
        <v/>
      </c>
      <c r="I282" s="30">
        <f>IF(OR(E282="",E282=0),"",F282/E282)</f>
        <v/>
      </c>
      <c r="J282" s="5" t="n"/>
      <c r="K282" s="25" t="n"/>
      <c r="L282" s="5" t="n"/>
    </row>
    <row r="283">
      <c r="A283" s="5" t="n"/>
      <c r="B283" s="5">
        <f>IF(A283="","",TEXT(A283,"ddd"))</f>
        <v/>
      </c>
      <c r="C283" s="5" t="n"/>
      <c r="D283" s="5" t="n"/>
      <c r="E283" s="5">
        <f>IF(AND(C283="",D283=""),"",C283+D283)</f>
        <v/>
      </c>
      <c r="F283" s="25" t="n"/>
      <c r="G283" s="25" t="n"/>
      <c r="H283" s="26">
        <f>IF(OR(F283="",F283=0),"",G283/F283)</f>
        <v/>
      </c>
      <c r="I283" s="30">
        <f>IF(OR(E283="",E283=0),"",F283/E283)</f>
        <v/>
      </c>
      <c r="J283" s="5" t="n"/>
      <c r="K283" s="25" t="n"/>
      <c r="L283" s="5" t="n"/>
    </row>
    <row r="284">
      <c r="A284" s="5" t="n"/>
      <c r="B284" s="5">
        <f>IF(A284="","",TEXT(A284,"ddd"))</f>
        <v/>
      </c>
      <c r="C284" s="5" t="n"/>
      <c r="D284" s="5" t="n"/>
      <c r="E284" s="5">
        <f>IF(AND(C284="",D284=""),"",C284+D284)</f>
        <v/>
      </c>
      <c r="F284" s="25" t="n"/>
      <c r="G284" s="25" t="n"/>
      <c r="H284" s="26">
        <f>IF(OR(F284="",F284=0),"",G284/F284)</f>
        <v/>
      </c>
      <c r="I284" s="30">
        <f>IF(OR(E284="",E284=0),"",F284/E284)</f>
        <v/>
      </c>
      <c r="J284" s="5" t="n"/>
      <c r="K284" s="25" t="n"/>
      <c r="L284" s="5" t="n"/>
    </row>
    <row r="285">
      <c r="A285" s="5" t="n"/>
      <c r="B285" s="5">
        <f>IF(A285="","",TEXT(A285,"ddd"))</f>
        <v/>
      </c>
      <c r="C285" s="5" t="n"/>
      <c r="D285" s="5" t="n"/>
      <c r="E285" s="5">
        <f>IF(AND(C285="",D285=""),"",C285+D285)</f>
        <v/>
      </c>
      <c r="F285" s="25" t="n"/>
      <c r="G285" s="25" t="n"/>
      <c r="H285" s="26">
        <f>IF(OR(F285="",F285=0),"",G285/F285)</f>
        <v/>
      </c>
      <c r="I285" s="30">
        <f>IF(OR(E285="",E285=0),"",F285/E285)</f>
        <v/>
      </c>
      <c r="J285" s="5" t="n"/>
      <c r="K285" s="25" t="n"/>
      <c r="L285" s="5" t="n"/>
    </row>
    <row r="286">
      <c r="A286" s="5" t="n"/>
      <c r="B286" s="5">
        <f>IF(A286="","",TEXT(A286,"ddd"))</f>
        <v/>
      </c>
      <c r="C286" s="5" t="n"/>
      <c r="D286" s="5" t="n"/>
      <c r="E286" s="5">
        <f>IF(AND(C286="",D286=""),"",C286+D286)</f>
        <v/>
      </c>
      <c r="F286" s="25" t="n"/>
      <c r="G286" s="25" t="n"/>
      <c r="H286" s="26">
        <f>IF(OR(F286="",F286=0),"",G286/F286)</f>
        <v/>
      </c>
      <c r="I286" s="30">
        <f>IF(OR(E286="",E286=0),"",F286/E286)</f>
        <v/>
      </c>
      <c r="J286" s="5" t="n"/>
      <c r="K286" s="25" t="n"/>
      <c r="L286" s="5" t="n"/>
    </row>
    <row r="287">
      <c r="A287" s="5" t="n"/>
      <c r="B287" s="5">
        <f>IF(A287="","",TEXT(A287,"ddd"))</f>
        <v/>
      </c>
      <c r="C287" s="5" t="n"/>
      <c r="D287" s="5" t="n"/>
      <c r="E287" s="5">
        <f>IF(AND(C287="",D287=""),"",C287+D287)</f>
        <v/>
      </c>
      <c r="F287" s="25" t="n"/>
      <c r="G287" s="25" t="n"/>
      <c r="H287" s="26">
        <f>IF(OR(F287="",F287=0),"",G287/F287)</f>
        <v/>
      </c>
      <c r="I287" s="30">
        <f>IF(OR(E287="",E287=0),"",F287/E287)</f>
        <v/>
      </c>
      <c r="J287" s="5" t="n"/>
      <c r="K287" s="25" t="n"/>
      <c r="L287" s="5" t="n"/>
    </row>
    <row r="288">
      <c r="A288" s="5" t="n"/>
      <c r="B288" s="5">
        <f>IF(A288="","",TEXT(A288,"ddd"))</f>
        <v/>
      </c>
      <c r="C288" s="5" t="n"/>
      <c r="D288" s="5" t="n"/>
      <c r="E288" s="5">
        <f>IF(AND(C288="",D288=""),"",C288+D288)</f>
        <v/>
      </c>
      <c r="F288" s="25" t="n"/>
      <c r="G288" s="25" t="n"/>
      <c r="H288" s="26">
        <f>IF(OR(F288="",F288=0),"",G288/F288)</f>
        <v/>
      </c>
      <c r="I288" s="30">
        <f>IF(OR(E288="",E288=0),"",F288/E288)</f>
        <v/>
      </c>
      <c r="J288" s="5" t="n"/>
      <c r="K288" s="25" t="n"/>
      <c r="L288" s="5" t="n"/>
    </row>
    <row r="289">
      <c r="A289" s="5" t="n"/>
      <c r="B289" s="5">
        <f>IF(A289="","",TEXT(A289,"ddd"))</f>
        <v/>
      </c>
      <c r="C289" s="5" t="n"/>
      <c r="D289" s="5" t="n"/>
      <c r="E289" s="5">
        <f>IF(AND(C289="",D289=""),"",C289+D289)</f>
        <v/>
      </c>
      <c r="F289" s="25" t="n"/>
      <c r="G289" s="25" t="n"/>
      <c r="H289" s="26">
        <f>IF(OR(F289="",F289=0),"",G289/F289)</f>
        <v/>
      </c>
      <c r="I289" s="30">
        <f>IF(OR(E289="",E289=0),"",F289/E289)</f>
        <v/>
      </c>
      <c r="J289" s="5" t="n"/>
      <c r="K289" s="25" t="n"/>
      <c r="L289" s="5" t="n"/>
    </row>
    <row r="290">
      <c r="A290" s="5" t="n"/>
      <c r="B290" s="5">
        <f>IF(A290="","",TEXT(A290,"ddd"))</f>
        <v/>
      </c>
      <c r="C290" s="5" t="n"/>
      <c r="D290" s="5" t="n"/>
      <c r="E290" s="5">
        <f>IF(AND(C290="",D290=""),"",C290+D290)</f>
        <v/>
      </c>
      <c r="F290" s="25" t="n"/>
      <c r="G290" s="25" t="n"/>
      <c r="H290" s="26">
        <f>IF(OR(F290="",F290=0),"",G290/F290)</f>
        <v/>
      </c>
      <c r="I290" s="30">
        <f>IF(OR(E290="",E290=0),"",F290/E290)</f>
        <v/>
      </c>
      <c r="J290" s="5" t="n"/>
      <c r="K290" s="25" t="n"/>
      <c r="L290" s="5" t="n"/>
    </row>
    <row r="291">
      <c r="A291" s="5" t="n"/>
      <c r="B291" s="5">
        <f>IF(A291="","",TEXT(A291,"ddd"))</f>
        <v/>
      </c>
      <c r="C291" s="5" t="n"/>
      <c r="D291" s="5" t="n"/>
      <c r="E291" s="5">
        <f>IF(AND(C291="",D291=""),"",C291+D291)</f>
        <v/>
      </c>
      <c r="F291" s="25" t="n"/>
      <c r="G291" s="25" t="n"/>
      <c r="H291" s="26">
        <f>IF(OR(F291="",F291=0),"",G291/F291)</f>
        <v/>
      </c>
      <c r="I291" s="30">
        <f>IF(OR(E291="",E291=0),"",F291/E291)</f>
        <v/>
      </c>
      <c r="J291" s="5" t="n"/>
      <c r="K291" s="25" t="n"/>
      <c r="L291" s="5" t="n"/>
    </row>
    <row r="292">
      <c r="A292" s="5" t="n"/>
      <c r="B292" s="5">
        <f>IF(A292="","",TEXT(A292,"ddd"))</f>
        <v/>
      </c>
      <c r="C292" s="5" t="n"/>
      <c r="D292" s="5" t="n"/>
      <c r="E292" s="5">
        <f>IF(AND(C292="",D292=""),"",C292+D292)</f>
        <v/>
      </c>
      <c r="F292" s="25" t="n"/>
      <c r="G292" s="25" t="n"/>
      <c r="H292" s="26">
        <f>IF(OR(F292="",F292=0),"",G292/F292)</f>
        <v/>
      </c>
      <c r="I292" s="30">
        <f>IF(OR(E292="",E292=0),"",F292/E292)</f>
        <v/>
      </c>
      <c r="J292" s="5" t="n"/>
      <c r="K292" s="25" t="n"/>
      <c r="L292" s="5" t="n"/>
    </row>
    <row r="293">
      <c r="A293" s="5" t="n"/>
      <c r="B293" s="5">
        <f>IF(A293="","",TEXT(A293,"ddd"))</f>
        <v/>
      </c>
      <c r="C293" s="5" t="n"/>
      <c r="D293" s="5" t="n"/>
      <c r="E293" s="5">
        <f>IF(AND(C293="",D293=""),"",C293+D293)</f>
        <v/>
      </c>
      <c r="F293" s="25" t="n"/>
      <c r="G293" s="25" t="n"/>
      <c r="H293" s="26">
        <f>IF(OR(F293="",F293=0),"",G293/F293)</f>
        <v/>
      </c>
      <c r="I293" s="30">
        <f>IF(OR(E293="",E293=0),"",F293/E293)</f>
        <v/>
      </c>
      <c r="J293" s="5" t="n"/>
      <c r="K293" s="25" t="n"/>
      <c r="L293" s="5" t="n"/>
    </row>
    <row r="294">
      <c r="A294" s="5" t="n"/>
      <c r="B294" s="5">
        <f>IF(A294="","",TEXT(A294,"ddd"))</f>
        <v/>
      </c>
      <c r="C294" s="5" t="n"/>
      <c r="D294" s="5" t="n"/>
      <c r="E294" s="5">
        <f>IF(AND(C294="",D294=""),"",C294+D294)</f>
        <v/>
      </c>
      <c r="F294" s="25" t="n"/>
      <c r="G294" s="25" t="n"/>
      <c r="H294" s="26">
        <f>IF(OR(F294="",F294=0),"",G294/F294)</f>
        <v/>
      </c>
      <c r="I294" s="30">
        <f>IF(OR(E294="",E294=0),"",F294/E294)</f>
        <v/>
      </c>
      <c r="J294" s="5" t="n"/>
      <c r="K294" s="25" t="n"/>
      <c r="L294" s="5" t="n"/>
    </row>
    <row r="295">
      <c r="A295" s="5" t="n"/>
      <c r="B295" s="5">
        <f>IF(A295="","",TEXT(A295,"ddd"))</f>
        <v/>
      </c>
      <c r="C295" s="5" t="n"/>
      <c r="D295" s="5" t="n"/>
      <c r="E295" s="5">
        <f>IF(AND(C295="",D295=""),"",C295+D295)</f>
        <v/>
      </c>
      <c r="F295" s="25" t="n"/>
      <c r="G295" s="25" t="n"/>
      <c r="H295" s="26">
        <f>IF(OR(F295="",F295=0),"",G295/F295)</f>
        <v/>
      </c>
      <c r="I295" s="30">
        <f>IF(OR(E295="",E295=0),"",F295/E295)</f>
        <v/>
      </c>
      <c r="J295" s="5" t="n"/>
      <c r="K295" s="25" t="n"/>
      <c r="L295" s="5" t="n"/>
    </row>
    <row r="296">
      <c r="A296" s="5" t="n"/>
      <c r="B296" s="5">
        <f>IF(A296="","",TEXT(A296,"ddd"))</f>
        <v/>
      </c>
      <c r="C296" s="5" t="n"/>
      <c r="D296" s="5" t="n"/>
      <c r="E296" s="5">
        <f>IF(AND(C296="",D296=""),"",C296+D296)</f>
        <v/>
      </c>
      <c r="F296" s="25" t="n"/>
      <c r="G296" s="25" t="n"/>
      <c r="H296" s="26">
        <f>IF(OR(F296="",F296=0),"",G296/F296)</f>
        <v/>
      </c>
      <c r="I296" s="30">
        <f>IF(OR(E296="",E296=0),"",F296/E296)</f>
        <v/>
      </c>
      <c r="J296" s="5" t="n"/>
      <c r="K296" s="25" t="n"/>
      <c r="L296" s="5" t="n"/>
    </row>
    <row r="297">
      <c r="A297" s="5" t="n"/>
      <c r="B297" s="5">
        <f>IF(A297="","",TEXT(A297,"ddd"))</f>
        <v/>
      </c>
      <c r="C297" s="5" t="n"/>
      <c r="D297" s="5" t="n"/>
      <c r="E297" s="5">
        <f>IF(AND(C297="",D297=""),"",C297+D297)</f>
        <v/>
      </c>
      <c r="F297" s="25" t="n"/>
      <c r="G297" s="25" t="n"/>
      <c r="H297" s="26">
        <f>IF(OR(F297="",F297=0),"",G297/F297)</f>
        <v/>
      </c>
      <c r="I297" s="30">
        <f>IF(OR(E297="",E297=0),"",F297/E297)</f>
        <v/>
      </c>
      <c r="J297" s="5" t="n"/>
      <c r="K297" s="25" t="n"/>
      <c r="L297" s="5" t="n"/>
    </row>
    <row r="298">
      <c r="A298" s="5" t="n"/>
      <c r="B298" s="5">
        <f>IF(A298="","",TEXT(A298,"ddd"))</f>
        <v/>
      </c>
      <c r="C298" s="5" t="n"/>
      <c r="D298" s="5" t="n"/>
      <c r="E298" s="5">
        <f>IF(AND(C298="",D298=""),"",C298+D298)</f>
        <v/>
      </c>
      <c r="F298" s="25" t="n"/>
      <c r="G298" s="25" t="n"/>
      <c r="H298" s="26">
        <f>IF(OR(F298="",F298=0),"",G298/F298)</f>
        <v/>
      </c>
      <c r="I298" s="30">
        <f>IF(OR(E298="",E298=0),"",F298/E298)</f>
        <v/>
      </c>
      <c r="J298" s="5" t="n"/>
      <c r="K298" s="25" t="n"/>
      <c r="L298" s="5" t="n"/>
    </row>
    <row r="299">
      <c r="A299" s="5" t="n"/>
      <c r="B299" s="5">
        <f>IF(A299="","",TEXT(A299,"ddd"))</f>
        <v/>
      </c>
      <c r="C299" s="5" t="n"/>
      <c r="D299" s="5" t="n"/>
      <c r="E299" s="5">
        <f>IF(AND(C299="",D299=""),"",C299+D299)</f>
        <v/>
      </c>
      <c r="F299" s="25" t="n"/>
      <c r="G299" s="25" t="n"/>
      <c r="H299" s="26">
        <f>IF(OR(F299="",F299=0),"",G299/F299)</f>
        <v/>
      </c>
      <c r="I299" s="30">
        <f>IF(OR(E299="",E299=0),"",F299/E299)</f>
        <v/>
      </c>
      <c r="J299" s="5" t="n"/>
      <c r="K299" s="25" t="n"/>
      <c r="L299" s="5" t="n"/>
    </row>
    <row r="300">
      <c r="A300" s="5" t="n"/>
      <c r="B300" s="5">
        <f>IF(A300="","",TEXT(A300,"ddd"))</f>
        <v/>
      </c>
      <c r="C300" s="5" t="n"/>
      <c r="D300" s="5" t="n"/>
      <c r="E300" s="5">
        <f>IF(AND(C300="",D300=""),"",C300+D300)</f>
        <v/>
      </c>
      <c r="F300" s="25" t="n"/>
      <c r="G300" s="25" t="n"/>
      <c r="H300" s="26">
        <f>IF(OR(F300="",F300=0),"",G300/F300)</f>
        <v/>
      </c>
      <c r="I300" s="30">
        <f>IF(OR(E300="",E300=0),"",F300/E300)</f>
        <v/>
      </c>
      <c r="J300" s="5" t="n"/>
      <c r="K300" s="25" t="n"/>
      <c r="L300" s="5" t="n"/>
    </row>
    <row r="301">
      <c r="A301" s="5" t="n"/>
      <c r="B301" s="5">
        <f>IF(A301="","",TEXT(A301,"ddd"))</f>
        <v/>
      </c>
      <c r="C301" s="5" t="n"/>
      <c r="D301" s="5" t="n"/>
      <c r="E301" s="5">
        <f>IF(AND(C301="",D301=""),"",C301+D301)</f>
        <v/>
      </c>
      <c r="F301" s="25" t="n"/>
      <c r="G301" s="25" t="n"/>
      <c r="H301" s="26">
        <f>IF(OR(F301="",F301=0),"",G301/F301)</f>
        <v/>
      </c>
      <c r="I301" s="30">
        <f>IF(OR(E301="",E301=0),"",F301/E301)</f>
        <v/>
      </c>
      <c r="J301" s="5" t="n"/>
      <c r="K301" s="25" t="n"/>
      <c r="L301" s="5" t="n"/>
    </row>
    <row r="302">
      <c r="A302" s="5" t="n"/>
      <c r="B302" s="5">
        <f>IF(A302="","",TEXT(A302,"ddd"))</f>
        <v/>
      </c>
      <c r="C302" s="5" t="n"/>
      <c r="D302" s="5" t="n"/>
      <c r="E302" s="5">
        <f>IF(AND(C302="",D302=""),"",C302+D302)</f>
        <v/>
      </c>
      <c r="F302" s="25" t="n"/>
      <c r="G302" s="25" t="n"/>
      <c r="H302" s="26">
        <f>IF(OR(F302="",F302=0),"",G302/F302)</f>
        <v/>
      </c>
      <c r="I302" s="30">
        <f>IF(OR(E302="",E302=0),"",F302/E302)</f>
        <v/>
      </c>
      <c r="J302" s="5" t="n"/>
      <c r="K302" s="25" t="n"/>
      <c r="L302" s="5" t="n"/>
    </row>
    <row r="303">
      <c r="A303" s="5" t="n"/>
      <c r="B303" s="5">
        <f>IF(A303="","",TEXT(A303,"ddd"))</f>
        <v/>
      </c>
      <c r="C303" s="5" t="n"/>
      <c r="D303" s="5" t="n"/>
      <c r="E303" s="5">
        <f>IF(AND(C303="",D303=""),"",C303+D303)</f>
        <v/>
      </c>
      <c r="F303" s="25" t="n"/>
      <c r="G303" s="25" t="n"/>
      <c r="H303" s="26">
        <f>IF(OR(F303="",F303=0),"",G303/F303)</f>
        <v/>
      </c>
      <c r="I303" s="30">
        <f>IF(OR(E303="",E303=0),"",F303/E303)</f>
        <v/>
      </c>
      <c r="J303" s="5" t="n"/>
      <c r="K303" s="25" t="n"/>
      <c r="L303" s="5" t="n"/>
    </row>
    <row r="304">
      <c r="A304" s="5" t="n"/>
      <c r="B304" s="5">
        <f>IF(A304="","",TEXT(A304,"ddd"))</f>
        <v/>
      </c>
      <c r="C304" s="5" t="n"/>
      <c r="D304" s="5" t="n"/>
      <c r="E304" s="5">
        <f>IF(AND(C304="",D304=""),"",C304+D304)</f>
        <v/>
      </c>
      <c r="F304" s="25" t="n"/>
      <c r="G304" s="25" t="n"/>
      <c r="H304" s="26">
        <f>IF(OR(F304="",F304=0),"",G304/F304)</f>
        <v/>
      </c>
      <c r="I304" s="30">
        <f>IF(OR(E304="",E304=0),"",F304/E304)</f>
        <v/>
      </c>
      <c r="J304" s="5" t="n"/>
      <c r="K304" s="25" t="n"/>
      <c r="L304" s="5" t="n"/>
    </row>
    <row r="305">
      <c r="A305" s="5" t="n"/>
      <c r="B305" s="5">
        <f>IF(A305="","",TEXT(A305,"ddd"))</f>
        <v/>
      </c>
      <c r="C305" s="5" t="n"/>
      <c r="D305" s="5" t="n"/>
      <c r="E305" s="5">
        <f>IF(AND(C305="",D305=""),"",C305+D305)</f>
        <v/>
      </c>
      <c r="F305" s="25" t="n"/>
      <c r="G305" s="25" t="n"/>
      <c r="H305" s="26">
        <f>IF(OR(F305="",F305=0),"",G305/F305)</f>
        <v/>
      </c>
      <c r="I305" s="30">
        <f>IF(OR(E305="",E305=0),"",F305/E305)</f>
        <v/>
      </c>
      <c r="J305" s="5" t="n"/>
      <c r="K305" s="25" t="n"/>
      <c r="L305" s="5" t="n"/>
    </row>
    <row r="306">
      <c r="A306" s="5" t="n"/>
      <c r="B306" s="5">
        <f>IF(A306="","",TEXT(A306,"ddd"))</f>
        <v/>
      </c>
      <c r="C306" s="5" t="n"/>
      <c r="D306" s="5" t="n"/>
      <c r="E306" s="5">
        <f>IF(AND(C306="",D306=""),"",C306+D306)</f>
        <v/>
      </c>
      <c r="F306" s="25" t="n"/>
      <c r="G306" s="25" t="n"/>
      <c r="H306" s="26">
        <f>IF(OR(F306="",F306=0),"",G306/F306)</f>
        <v/>
      </c>
      <c r="I306" s="30">
        <f>IF(OR(E306="",E306=0),"",F306/E306)</f>
        <v/>
      </c>
      <c r="J306" s="5" t="n"/>
      <c r="K306" s="25" t="n"/>
      <c r="L306" s="5" t="n"/>
    </row>
    <row r="307">
      <c r="A307" s="5" t="n"/>
      <c r="B307" s="5">
        <f>IF(A307="","",TEXT(A307,"ddd"))</f>
        <v/>
      </c>
      <c r="C307" s="5" t="n"/>
      <c r="D307" s="5" t="n"/>
      <c r="E307" s="5">
        <f>IF(AND(C307="",D307=""),"",C307+D307)</f>
        <v/>
      </c>
      <c r="F307" s="25" t="n"/>
      <c r="G307" s="25" t="n"/>
      <c r="H307" s="26">
        <f>IF(OR(F307="",F307=0),"",G307/F307)</f>
        <v/>
      </c>
      <c r="I307" s="30">
        <f>IF(OR(E307="",E307=0),"",F307/E307)</f>
        <v/>
      </c>
      <c r="J307" s="5" t="n"/>
      <c r="K307" s="25" t="n"/>
      <c r="L307" s="5" t="n"/>
    </row>
    <row r="308">
      <c r="A308" s="5" t="n"/>
      <c r="B308" s="5">
        <f>IF(A308="","",TEXT(A308,"ddd"))</f>
        <v/>
      </c>
      <c r="C308" s="5" t="n"/>
      <c r="D308" s="5" t="n"/>
      <c r="E308" s="5">
        <f>IF(AND(C308="",D308=""),"",C308+D308)</f>
        <v/>
      </c>
      <c r="F308" s="25" t="n"/>
      <c r="G308" s="25" t="n"/>
      <c r="H308" s="26">
        <f>IF(OR(F308="",F308=0),"",G308/F308)</f>
        <v/>
      </c>
      <c r="I308" s="30">
        <f>IF(OR(E308="",E308=0),"",F308/E308)</f>
        <v/>
      </c>
      <c r="J308" s="5" t="n"/>
      <c r="K308" s="25" t="n"/>
      <c r="L308" s="5" t="n"/>
    </row>
    <row r="309">
      <c r="A309" s="5" t="n"/>
      <c r="B309" s="5">
        <f>IF(A309="","",TEXT(A309,"ddd"))</f>
        <v/>
      </c>
      <c r="C309" s="5" t="n"/>
      <c r="D309" s="5" t="n"/>
      <c r="E309" s="5">
        <f>IF(AND(C309="",D309=""),"",C309+D309)</f>
        <v/>
      </c>
      <c r="F309" s="25" t="n"/>
      <c r="G309" s="25" t="n"/>
      <c r="H309" s="26">
        <f>IF(OR(F309="",F309=0),"",G309/F309)</f>
        <v/>
      </c>
      <c r="I309" s="30">
        <f>IF(OR(E309="",E309=0),"",F309/E309)</f>
        <v/>
      </c>
      <c r="J309" s="5" t="n"/>
      <c r="K309" s="25" t="n"/>
      <c r="L309" s="5" t="n"/>
    </row>
    <row r="310">
      <c r="A310" s="5" t="n"/>
      <c r="B310" s="5">
        <f>IF(A310="","",TEXT(A310,"ddd"))</f>
        <v/>
      </c>
      <c r="C310" s="5" t="n"/>
      <c r="D310" s="5" t="n"/>
      <c r="E310" s="5">
        <f>IF(AND(C310="",D310=""),"",C310+D310)</f>
        <v/>
      </c>
      <c r="F310" s="25" t="n"/>
      <c r="G310" s="25" t="n"/>
      <c r="H310" s="26">
        <f>IF(OR(F310="",F310=0),"",G310/F310)</f>
        <v/>
      </c>
      <c r="I310" s="30">
        <f>IF(OR(E310="",E310=0),"",F310/E310)</f>
        <v/>
      </c>
      <c r="J310" s="5" t="n"/>
      <c r="K310" s="25" t="n"/>
      <c r="L310" s="5" t="n"/>
    </row>
    <row r="311">
      <c r="A311" s="5" t="n"/>
      <c r="B311" s="5">
        <f>IF(A311="","",TEXT(A311,"ddd"))</f>
        <v/>
      </c>
      <c r="C311" s="5" t="n"/>
      <c r="D311" s="5" t="n"/>
      <c r="E311" s="5">
        <f>IF(AND(C311="",D311=""),"",C311+D311)</f>
        <v/>
      </c>
      <c r="F311" s="25" t="n"/>
      <c r="G311" s="25" t="n"/>
      <c r="H311" s="26">
        <f>IF(OR(F311="",F311=0),"",G311/F311)</f>
        <v/>
      </c>
      <c r="I311" s="30">
        <f>IF(OR(E311="",E311=0),"",F311/E311)</f>
        <v/>
      </c>
      <c r="J311" s="5" t="n"/>
      <c r="K311" s="25" t="n"/>
      <c r="L311" s="5" t="n"/>
    </row>
    <row r="312">
      <c r="A312" s="5" t="n"/>
      <c r="B312" s="5">
        <f>IF(A312="","",TEXT(A312,"ddd"))</f>
        <v/>
      </c>
      <c r="C312" s="5" t="n"/>
      <c r="D312" s="5" t="n"/>
      <c r="E312" s="5">
        <f>IF(AND(C312="",D312=""),"",C312+D312)</f>
        <v/>
      </c>
      <c r="F312" s="25" t="n"/>
      <c r="G312" s="25" t="n"/>
      <c r="H312" s="26">
        <f>IF(OR(F312="",F312=0),"",G312/F312)</f>
        <v/>
      </c>
      <c r="I312" s="30">
        <f>IF(OR(E312="",E312=0),"",F312/E312)</f>
        <v/>
      </c>
      <c r="J312" s="5" t="n"/>
      <c r="K312" s="25" t="n"/>
      <c r="L312" s="5" t="n"/>
    </row>
    <row r="313">
      <c r="A313" s="5" t="n"/>
      <c r="B313" s="5">
        <f>IF(A313="","",TEXT(A313,"ddd"))</f>
        <v/>
      </c>
      <c r="C313" s="5" t="n"/>
      <c r="D313" s="5" t="n"/>
      <c r="E313" s="5">
        <f>IF(AND(C313="",D313=""),"",C313+D313)</f>
        <v/>
      </c>
      <c r="F313" s="25" t="n"/>
      <c r="G313" s="25" t="n"/>
      <c r="H313" s="26">
        <f>IF(OR(F313="",F313=0),"",G313/F313)</f>
        <v/>
      </c>
      <c r="I313" s="30">
        <f>IF(OR(E313="",E313=0),"",F313/E313)</f>
        <v/>
      </c>
      <c r="J313" s="5" t="n"/>
      <c r="K313" s="25" t="n"/>
      <c r="L313" s="5" t="n"/>
    </row>
    <row r="314">
      <c r="A314" s="5" t="n"/>
      <c r="B314" s="5">
        <f>IF(A314="","",TEXT(A314,"ddd"))</f>
        <v/>
      </c>
      <c r="C314" s="5" t="n"/>
      <c r="D314" s="5" t="n"/>
      <c r="E314" s="5">
        <f>IF(AND(C314="",D314=""),"",C314+D314)</f>
        <v/>
      </c>
      <c r="F314" s="25" t="n"/>
      <c r="G314" s="25" t="n"/>
      <c r="H314" s="26">
        <f>IF(OR(F314="",F314=0),"",G314/F314)</f>
        <v/>
      </c>
      <c r="I314" s="30">
        <f>IF(OR(E314="",E314=0),"",F314/E314)</f>
        <v/>
      </c>
      <c r="J314" s="5" t="n"/>
      <c r="K314" s="25" t="n"/>
      <c r="L314" s="5" t="n"/>
    </row>
    <row r="315">
      <c r="A315" s="5" t="n"/>
      <c r="B315" s="5">
        <f>IF(A315="","",TEXT(A315,"ddd"))</f>
        <v/>
      </c>
      <c r="C315" s="5" t="n"/>
      <c r="D315" s="5" t="n"/>
      <c r="E315" s="5">
        <f>IF(AND(C315="",D315=""),"",C315+D315)</f>
        <v/>
      </c>
      <c r="F315" s="25" t="n"/>
      <c r="G315" s="25" t="n"/>
      <c r="H315" s="26">
        <f>IF(OR(F315="",F315=0),"",G315/F315)</f>
        <v/>
      </c>
      <c r="I315" s="30">
        <f>IF(OR(E315="",E315=0),"",F315/E315)</f>
        <v/>
      </c>
      <c r="J315" s="5" t="n"/>
      <c r="K315" s="25" t="n"/>
      <c r="L315" s="5" t="n"/>
    </row>
    <row r="316">
      <c r="A316" s="5" t="n"/>
      <c r="B316" s="5">
        <f>IF(A316="","",TEXT(A316,"ddd"))</f>
        <v/>
      </c>
      <c r="C316" s="5" t="n"/>
      <c r="D316" s="5" t="n"/>
      <c r="E316" s="5">
        <f>IF(AND(C316="",D316=""),"",C316+D316)</f>
        <v/>
      </c>
      <c r="F316" s="25" t="n"/>
      <c r="G316" s="25" t="n"/>
      <c r="H316" s="26">
        <f>IF(OR(F316="",F316=0),"",G316/F316)</f>
        <v/>
      </c>
      <c r="I316" s="30">
        <f>IF(OR(E316="",E316=0),"",F316/E316)</f>
        <v/>
      </c>
      <c r="J316" s="5" t="n"/>
      <c r="K316" s="25" t="n"/>
      <c r="L316" s="5" t="n"/>
    </row>
    <row r="317">
      <c r="A317" s="5" t="n"/>
      <c r="B317" s="5">
        <f>IF(A317="","",TEXT(A317,"ddd"))</f>
        <v/>
      </c>
      <c r="C317" s="5" t="n"/>
      <c r="D317" s="5" t="n"/>
      <c r="E317" s="5">
        <f>IF(AND(C317="",D317=""),"",C317+D317)</f>
        <v/>
      </c>
      <c r="F317" s="25" t="n"/>
      <c r="G317" s="25" t="n"/>
      <c r="H317" s="26">
        <f>IF(OR(F317="",F317=0),"",G317/F317)</f>
        <v/>
      </c>
      <c r="I317" s="30">
        <f>IF(OR(E317="",E317=0),"",F317/E317)</f>
        <v/>
      </c>
      <c r="J317" s="5" t="n"/>
      <c r="K317" s="25" t="n"/>
      <c r="L317" s="5" t="n"/>
    </row>
    <row r="318">
      <c r="A318" s="5" t="n"/>
      <c r="B318" s="5">
        <f>IF(A318="","",TEXT(A318,"ddd"))</f>
        <v/>
      </c>
      <c r="C318" s="5" t="n"/>
      <c r="D318" s="5" t="n"/>
      <c r="E318" s="5">
        <f>IF(AND(C318="",D318=""),"",C318+D318)</f>
        <v/>
      </c>
      <c r="F318" s="25" t="n"/>
      <c r="G318" s="25" t="n"/>
      <c r="H318" s="26">
        <f>IF(OR(F318="",F318=0),"",G318/F318)</f>
        <v/>
      </c>
      <c r="I318" s="30">
        <f>IF(OR(E318="",E318=0),"",F318/E318)</f>
        <v/>
      </c>
      <c r="J318" s="5" t="n"/>
      <c r="K318" s="25" t="n"/>
      <c r="L318" s="5" t="n"/>
    </row>
    <row r="319">
      <c r="A319" s="5" t="n"/>
      <c r="B319" s="5">
        <f>IF(A319="","",TEXT(A319,"ddd"))</f>
        <v/>
      </c>
      <c r="C319" s="5" t="n"/>
      <c r="D319" s="5" t="n"/>
      <c r="E319" s="5">
        <f>IF(AND(C319="",D319=""),"",C319+D319)</f>
        <v/>
      </c>
      <c r="F319" s="25" t="n"/>
      <c r="G319" s="25" t="n"/>
      <c r="H319" s="26">
        <f>IF(OR(F319="",F319=0),"",G319/F319)</f>
        <v/>
      </c>
      <c r="I319" s="30">
        <f>IF(OR(E319="",E319=0),"",F319/E319)</f>
        <v/>
      </c>
      <c r="J319" s="5" t="n"/>
      <c r="K319" s="25" t="n"/>
      <c r="L319" s="5" t="n"/>
    </row>
    <row r="320">
      <c r="A320" s="5" t="n"/>
      <c r="B320" s="5">
        <f>IF(A320="","",TEXT(A320,"ddd"))</f>
        <v/>
      </c>
      <c r="C320" s="5" t="n"/>
      <c r="D320" s="5" t="n"/>
      <c r="E320" s="5">
        <f>IF(AND(C320="",D320=""),"",C320+D320)</f>
        <v/>
      </c>
      <c r="F320" s="25" t="n"/>
      <c r="G320" s="25" t="n"/>
      <c r="H320" s="26">
        <f>IF(OR(F320="",F320=0),"",G320/F320)</f>
        <v/>
      </c>
      <c r="I320" s="30">
        <f>IF(OR(E320="",E320=0),"",F320/E320)</f>
        <v/>
      </c>
      <c r="J320" s="5" t="n"/>
      <c r="K320" s="25" t="n"/>
      <c r="L320" s="5" t="n"/>
    </row>
    <row r="321">
      <c r="A321" s="5" t="n"/>
      <c r="B321" s="5">
        <f>IF(A321="","",TEXT(A321,"ddd"))</f>
        <v/>
      </c>
      <c r="C321" s="5" t="n"/>
      <c r="D321" s="5" t="n"/>
      <c r="E321" s="5">
        <f>IF(AND(C321="",D321=""),"",C321+D321)</f>
        <v/>
      </c>
      <c r="F321" s="25" t="n"/>
      <c r="G321" s="25" t="n"/>
      <c r="H321" s="26">
        <f>IF(OR(F321="",F321=0),"",G321/F321)</f>
        <v/>
      </c>
      <c r="I321" s="30">
        <f>IF(OR(E321="",E321=0),"",F321/E321)</f>
        <v/>
      </c>
      <c r="J321" s="5" t="n"/>
      <c r="K321" s="25" t="n"/>
      <c r="L321" s="5" t="n"/>
    </row>
    <row r="322">
      <c r="A322" s="5" t="n"/>
      <c r="B322" s="5">
        <f>IF(A322="","",TEXT(A322,"ddd"))</f>
        <v/>
      </c>
      <c r="C322" s="5" t="n"/>
      <c r="D322" s="5" t="n"/>
      <c r="E322" s="5">
        <f>IF(AND(C322="",D322=""),"",C322+D322)</f>
        <v/>
      </c>
      <c r="F322" s="25" t="n"/>
      <c r="G322" s="25" t="n"/>
      <c r="H322" s="26">
        <f>IF(OR(F322="",F322=0),"",G322/F322)</f>
        <v/>
      </c>
      <c r="I322" s="30">
        <f>IF(OR(E322="",E322=0),"",F322/E322)</f>
        <v/>
      </c>
      <c r="J322" s="5" t="n"/>
      <c r="K322" s="25" t="n"/>
      <c r="L322" s="5" t="n"/>
    </row>
    <row r="323">
      <c r="A323" s="5" t="n"/>
      <c r="B323" s="5">
        <f>IF(A323="","",TEXT(A323,"ddd"))</f>
        <v/>
      </c>
      <c r="C323" s="5" t="n"/>
      <c r="D323" s="5" t="n"/>
      <c r="E323" s="5">
        <f>IF(AND(C323="",D323=""),"",C323+D323)</f>
        <v/>
      </c>
      <c r="F323" s="25" t="n"/>
      <c r="G323" s="25" t="n"/>
      <c r="H323" s="26">
        <f>IF(OR(F323="",F323=0),"",G323/F323)</f>
        <v/>
      </c>
      <c r="I323" s="30">
        <f>IF(OR(E323="",E323=0),"",F323/E323)</f>
        <v/>
      </c>
      <c r="J323" s="5" t="n"/>
      <c r="K323" s="25" t="n"/>
      <c r="L323" s="5" t="n"/>
    </row>
    <row r="324">
      <c r="A324" s="5" t="n"/>
      <c r="B324" s="5">
        <f>IF(A324="","",TEXT(A324,"ddd"))</f>
        <v/>
      </c>
      <c r="C324" s="5" t="n"/>
      <c r="D324" s="5" t="n"/>
      <c r="E324" s="5">
        <f>IF(AND(C324="",D324=""),"",C324+D324)</f>
        <v/>
      </c>
      <c r="F324" s="25" t="n"/>
      <c r="G324" s="25" t="n"/>
      <c r="H324" s="26">
        <f>IF(OR(F324="",F324=0),"",G324/F324)</f>
        <v/>
      </c>
      <c r="I324" s="30">
        <f>IF(OR(E324="",E324=0),"",F324/E324)</f>
        <v/>
      </c>
      <c r="J324" s="5" t="n"/>
      <c r="K324" s="25" t="n"/>
      <c r="L324" s="5" t="n"/>
    </row>
    <row r="325">
      <c r="A325" s="5" t="n"/>
      <c r="B325" s="5">
        <f>IF(A325="","",TEXT(A325,"ddd"))</f>
        <v/>
      </c>
      <c r="C325" s="5" t="n"/>
      <c r="D325" s="5" t="n"/>
      <c r="E325" s="5">
        <f>IF(AND(C325="",D325=""),"",C325+D325)</f>
        <v/>
      </c>
      <c r="F325" s="25" t="n"/>
      <c r="G325" s="25" t="n"/>
      <c r="H325" s="26">
        <f>IF(OR(F325="",F325=0),"",G325/F325)</f>
        <v/>
      </c>
      <c r="I325" s="30">
        <f>IF(OR(E325="",E325=0),"",F325/E325)</f>
        <v/>
      </c>
      <c r="J325" s="5" t="n"/>
      <c r="K325" s="25" t="n"/>
      <c r="L325" s="5" t="n"/>
    </row>
    <row r="326">
      <c r="A326" s="5" t="n"/>
      <c r="B326" s="5">
        <f>IF(A326="","",TEXT(A326,"ddd"))</f>
        <v/>
      </c>
      <c r="C326" s="5" t="n"/>
      <c r="D326" s="5" t="n"/>
      <c r="E326" s="5">
        <f>IF(AND(C326="",D326=""),"",C326+D326)</f>
        <v/>
      </c>
      <c r="F326" s="25" t="n"/>
      <c r="G326" s="25" t="n"/>
      <c r="H326" s="26">
        <f>IF(OR(F326="",F326=0),"",G326/F326)</f>
        <v/>
      </c>
      <c r="I326" s="30">
        <f>IF(OR(E326="",E326=0),"",F326/E326)</f>
        <v/>
      </c>
      <c r="J326" s="5" t="n"/>
      <c r="K326" s="25" t="n"/>
      <c r="L326" s="5" t="n"/>
    </row>
    <row r="327">
      <c r="A327" s="5" t="n"/>
      <c r="B327" s="5">
        <f>IF(A327="","",TEXT(A327,"ddd"))</f>
        <v/>
      </c>
      <c r="C327" s="5" t="n"/>
      <c r="D327" s="5" t="n"/>
      <c r="E327" s="5">
        <f>IF(AND(C327="",D327=""),"",C327+D327)</f>
        <v/>
      </c>
      <c r="F327" s="25" t="n"/>
      <c r="G327" s="25" t="n"/>
      <c r="H327" s="26">
        <f>IF(OR(F327="",F327=0),"",G327/F327)</f>
        <v/>
      </c>
      <c r="I327" s="30">
        <f>IF(OR(E327="",E327=0),"",F327/E327)</f>
        <v/>
      </c>
      <c r="J327" s="5" t="n"/>
      <c r="K327" s="25" t="n"/>
      <c r="L327" s="5" t="n"/>
    </row>
    <row r="328">
      <c r="A328" s="5" t="n"/>
      <c r="B328" s="5">
        <f>IF(A328="","",TEXT(A328,"ddd"))</f>
        <v/>
      </c>
      <c r="C328" s="5" t="n"/>
      <c r="D328" s="5" t="n"/>
      <c r="E328" s="5">
        <f>IF(AND(C328="",D328=""),"",C328+D328)</f>
        <v/>
      </c>
      <c r="F328" s="25" t="n"/>
      <c r="G328" s="25" t="n"/>
      <c r="H328" s="26">
        <f>IF(OR(F328="",F328=0),"",G328/F328)</f>
        <v/>
      </c>
      <c r="I328" s="30">
        <f>IF(OR(E328="",E328=0),"",F328/E328)</f>
        <v/>
      </c>
      <c r="J328" s="5" t="n"/>
      <c r="K328" s="25" t="n"/>
      <c r="L328" s="5" t="n"/>
    </row>
    <row r="329">
      <c r="A329" s="5" t="n"/>
      <c r="B329" s="5">
        <f>IF(A329="","",TEXT(A329,"ddd"))</f>
        <v/>
      </c>
      <c r="C329" s="5" t="n"/>
      <c r="D329" s="5" t="n"/>
      <c r="E329" s="5">
        <f>IF(AND(C329="",D329=""),"",C329+D329)</f>
        <v/>
      </c>
      <c r="F329" s="25" t="n"/>
      <c r="G329" s="25" t="n"/>
      <c r="H329" s="26">
        <f>IF(OR(F329="",F329=0),"",G329/F329)</f>
        <v/>
      </c>
      <c r="I329" s="30">
        <f>IF(OR(E329="",E329=0),"",F329/E329)</f>
        <v/>
      </c>
      <c r="J329" s="5" t="n"/>
      <c r="K329" s="25" t="n"/>
      <c r="L329" s="5" t="n"/>
    </row>
    <row r="330">
      <c r="A330" s="5" t="n"/>
      <c r="B330" s="5">
        <f>IF(A330="","",TEXT(A330,"ddd"))</f>
        <v/>
      </c>
      <c r="C330" s="5" t="n"/>
      <c r="D330" s="5" t="n"/>
      <c r="E330" s="5">
        <f>IF(AND(C330="",D330=""),"",C330+D330)</f>
        <v/>
      </c>
      <c r="F330" s="25" t="n"/>
      <c r="G330" s="25" t="n"/>
      <c r="H330" s="26">
        <f>IF(OR(F330="",F330=0),"",G330/F330)</f>
        <v/>
      </c>
      <c r="I330" s="30">
        <f>IF(OR(E330="",E330=0),"",F330/E330)</f>
        <v/>
      </c>
      <c r="J330" s="5" t="n"/>
      <c r="K330" s="25" t="n"/>
      <c r="L330" s="5" t="n"/>
    </row>
    <row r="331">
      <c r="A331" s="5" t="n"/>
      <c r="B331" s="5">
        <f>IF(A331="","",TEXT(A331,"ddd"))</f>
        <v/>
      </c>
      <c r="C331" s="5" t="n"/>
      <c r="D331" s="5" t="n"/>
      <c r="E331" s="5">
        <f>IF(AND(C331="",D331=""),"",C331+D331)</f>
        <v/>
      </c>
      <c r="F331" s="25" t="n"/>
      <c r="G331" s="25" t="n"/>
      <c r="H331" s="26">
        <f>IF(OR(F331="",F331=0),"",G331/F331)</f>
        <v/>
      </c>
      <c r="I331" s="30">
        <f>IF(OR(E331="",E331=0),"",F331/E331)</f>
        <v/>
      </c>
      <c r="J331" s="5" t="n"/>
      <c r="K331" s="25" t="n"/>
      <c r="L331" s="5" t="n"/>
    </row>
    <row r="332">
      <c r="A332" s="5" t="n"/>
      <c r="B332" s="5">
        <f>IF(A332="","",TEXT(A332,"ddd"))</f>
        <v/>
      </c>
      <c r="C332" s="5" t="n"/>
      <c r="D332" s="5" t="n"/>
      <c r="E332" s="5">
        <f>IF(AND(C332="",D332=""),"",C332+D332)</f>
        <v/>
      </c>
      <c r="F332" s="25" t="n"/>
      <c r="G332" s="25" t="n"/>
      <c r="H332" s="26">
        <f>IF(OR(F332="",F332=0),"",G332/F332)</f>
        <v/>
      </c>
      <c r="I332" s="30">
        <f>IF(OR(E332="",E332=0),"",F332/E332)</f>
        <v/>
      </c>
      <c r="J332" s="5" t="n"/>
      <c r="K332" s="25" t="n"/>
      <c r="L332" s="5" t="n"/>
    </row>
    <row r="333">
      <c r="A333" s="5" t="n"/>
      <c r="B333" s="5">
        <f>IF(A333="","",TEXT(A333,"ddd"))</f>
        <v/>
      </c>
      <c r="C333" s="5" t="n"/>
      <c r="D333" s="5" t="n"/>
      <c r="E333" s="5">
        <f>IF(AND(C333="",D333=""),"",C333+D333)</f>
        <v/>
      </c>
      <c r="F333" s="25" t="n"/>
      <c r="G333" s="25" t="n"/>
      <c r="H333" s="26">
        <f>IF(OR(F333="",F333=0),"",G333/F333)</f>
        <v/>
      </c>
      <c r="I333" s="30">
        <f>IF(OR(E333="",E333=0),"",F333/E333)</f>
        <v/>
      </c>
      <c r="J333" s="5" t="n"/>
      <c r="K333" s="25" t="n"/>
      <c r="L333" s="5" t="n"/>
    </row>
    <row r="334">
      <c r="A334" s="5" t="n"/>
      <c r="B334" s="5">
        <f>IF(A334="","",TEXT(A334,"ddd"))</f>
        <v/>
      </c>
      <c r="C334" s="5" t="n"/>
      <c r="D334" s="5" t="n"/>
      <c r="E334" s="5">
        <f>IF(AND(C334="",D334=""),"",C334+D334)</f>
        <v/>
      </c>
      <c r="F334" s="25" t="n"/>
      <c r="G334" s="25" t="n"/>
      <c r="H334" s="26">
        <f>IF(OR(F334="",F334=0),"",G334/F334)</f>
        <v/>
      </c>
      <c r="I334" s="30">
        <f>IF(OR(E334="",E334=0),"",F334/E334)</f>
        <v/>
      </c>
      <c r="J334" s="5" t="n"/>
      <c r="K334" s="25" t="n"/>
      <c r="L334" s="5" t="n"/>
    </row>
    <row r="335">
      <c r="A335" s="5" t="n"/>
      <c r="B335" s="5">
        <f>IF(A335="","",TEXT(A335,"ddd"))</f>
        <v/>
      </c>
      <c r="C335" s="5" t="n"/>
      <c r="D335" s="5" t="n"/>
      <c r="E335" s="5">
        <f>IF(AND(C335="",D335=""),"",C335+D335)</f>
        <v/>
      </c>
      <c r="F335" s="25" t="n"/>
      <c r="G335" s="25" t="n"/>
      <c r="H335" s="26">
        <f>IF(OR(F335="",F335=0),"",G335/F335)</f>
        <v/>
      </c>
      <c r="I335" s="30">
        <f>IF(OR(E335="",E335=0),"",F335/E335)</f>
        <v/>
      </c>
      <c r="J335" s="5" t="n"/>
      <c r="K335" s="25" t="n"/>
      <c r="L335" s="5" t="n"/>
    </row>
    <row r="336">
      <c r="A336" s="5" t="n"/>
      <c r="B336" s="5">
        <f>IF(A336="","",TEXT(A336,"ddd"))</f>
        <v/>
      </c>
      <c r="C336" s="5" t="n"/>
      <c r="D336" s="5" t="n"/>
      <c r="E336" s="5">
        <f>IF(AND(C336="",D336=""),"",C336+D336)</f>
        <v/>
      </c>
      <c r="F336" s="25" t="n"/>
      <c r="G336" s="25" t="n"/>
      <c r="H336" s="26">
        <f>IF(OR(F336="",F336=0),"",G336/F336)</f>
        <v/>
      </c>
      <c r="I336" s="30">
        <f>IF(OR(E336="",E336=0),"",F336/E336)</f>
        <v/>
      </c>
      <c r="J336" s="5" t="n"/>
      <c r="K336" s="25" t="n"/>
      <c r="L336" s="5" t="n"/>
    </row>
    <row r="337">
      <c r="A337" s="5" t="n"/>
      <c r="B337" s="5">
        <f>IF(A337="","",TEXT(A337,"ddd"))</f>
        <v/>
      </c>
      <c r="C337" s="5" t="n"/>
      <c r="D337" s="5" t="n"/>
      <c r="E337" s="5">
        <f>IF(AND(C337="",D337=""),"",C337+D337)</f>
        <v/>
      </c>
      <c r="F337" s="25" t="n"/>
      <c r="G337" s="25" t="n"/>
      <c r="H337" s="26">
        <f>IF(OR(F337="",F337=0),"",G337/F337)</f>
        <v/>
      </c>
      <c r="I337" s="30">
        <f>IF(OR(E337="",E337=0),"",F337/E337)</f>
        <v/>
      </c>
      <c r="J337" s="5" t="n"/>
      <c r="K337" s="25" t="n"/>
      <c r="L337" s="5" t="n"/>
    </row>
    <row r="338">
      <c r="A338" s="5" t="n"/>
      <c r="B338" s="5">
        <f>IF(A338="","",TEXT(A338,"ddd"))</f>
        <v/>
      </c>
      <c r="C338" s="5" t="n"/>
      <c r="D338" s="5" t="n"/>
      <c r="E338" s="5">
        <f>IF(AND(C338="",D338=""),"",C338+D338)</f>
        <v/>
      </c>
      <c r="F338" s="25" t="n"/>
      <c r="G338" s="25" t="n"/>
      <c r="H338" s="26">
        <f>IF(OR(F338="",F338=0),"",G338/F338)</f>
        <v/>
      </c>
      <c r="I338" s="30">
        <f>IF(OR(E338="",E338=0),"",F338/E338)</f>
        <v/>
      </c>
      <c r="J338" s="5" t="n"/>
      <c r="K338" s="25" t="n"/>
      <c r="L338" s="5" t="n"/>
    </row>
    <row r="339">
      <c r="A339" s="5" t="n"/>
      <c r="B339" s="5">
        <f>IF(A339="","",TEXT(A339,"ddd"))</f>
        <v/>
      </c>
      <c r="C339" s="5" t="n"/>
      <c r="D339" s="5" t="n"/>
      <c r="E339" s="5">
        <f>IF(AND(C339="",D339=""),"",C339+D339)</f>
        <v/>
      </c>
      <c r="F339" s="25" t="n"/>
      <c r="G339" s="25" t="n"/>
      <c r="H339" s="26">
        <f>IF(OR(F339="",F339=0),"",G339/F339)</f>
        <v/>
      </c>
      <c r="I339" s="30">
        <f>IF(OR(E339="",E339=0),"",F339/E339)</f>
        <v/>
      </c>
      <c r="J339" s="5" t="n"/>
      <c r="K339" s="25" t="n"/>
      <c r="L339" s="5" t="n"/>
    </row>
    <row r="340">
      <c r="A340" s="5" t="n"/>
      <c r="B340" s="5">
        <f>IF(A340="","",TEXT(A340,"ddd"))</f>
        <v/>
      </c>
      <c r="C340" s="5" t="n"/>
      <c r="D340" s="5" t="n"/>
      <c r="E340" s="5">
        <f>IF(AND(C340="",D340=""),"",C340+D340)</f>
        <v/>
      </c>
      <c r="F340" s="25" t="n"/>
      <c r="G340" s="25" t="n"/>
      <c r="H340" s="26">
        <f>IF(OR(F340="",F340=0),"",G340/F340)</f>
        <v/>
      </c>
      <c r="I340" s="30">
        <f>IF(OR(E340="",E340=0),"",F340/E340)</f>
        <v/>
      </c>
      <c r="J340" s="5" t="n"/>
      <c r="K340" s="25" t="n"/>
      <c r="L340" s="5" t="n"/>
    </row>
    <row r="341">
      <c r="A341" s="5" t="n"/>
      <c r="B341" s="5">
        <f>IF(A341="","",TEXT(A341,"ddd"))</f>
        <v/>
      </c>
      <c r="C341" s="5" t="n"/>
      <c r="D341" s="5" t="n"/>
      <c r="E341" s="5">
        <f>IF(AND(C341="",D341=""),"",C341+D341)</f>
        <v/>
      </c>
      <c r="F341" s="25" t="n"/>
      <c r="G341" s="25" t="n"/>
      <c r="H341" s="26">
        <f>IF(OR(F341="",F341=0),"",G341/F341)</f>
        <v/>
      </c>
      <c r="I341" s="30">
        <f>IF(OR(E341="",E341=0),"",F341/E341)</f>
        <v/>
      </c>
      <c r="J341" s="5" t="n"/>
      <c r="K341" s="25" t="n"/>
      <c r="L341" s="5" t="n"/>
    </row>
    <row r="342">
      <c r="A342" s="5" t="n"/>
      <c r="B342" s="5">
        <f>IF(A342="","",TEXT(A342,"ddd"))</f>
        <v/>
      </c>
      <c r="C342" s="5" t="n"/>
      <c r="D342" s="5" t="n"/>
      <c r="E342" s="5">
        <f>IF(AND(C342="",D342=""),"",C342+D342)</f>
        <v/>
      </c>
      <c r="F342" s="25" t="n"/>
      <c r="G342" s="25" t="n"/>
      <c r="H342" s="26">
        <f>IF(OR(F342="",F342=0),"",G342/F342)</f>
        <v/>
      </c>
      <c r="I342" s="30">
        <f>IF(OR(E342="",E342=0),"",F342/E342)</f>
        <v/>
      </c>
      <c r="J342" s="5" t="n"/>
      <c r="K342" s="25" t="n"/>
      <c r="L342" s="5" t="n"/>
    </row>
    <row r="343">
      <c r="A343" s="5" t="n"/>
      <c r="B343" s="5">
        <f>IF(A343="","",TEXT(A343,"ddd"))</f>
        <v/>
      </c>
      <c r="C343" s="5" t="n"/>
      <c r="D343" s="5" t="n"/>
      <c r="E343" s="5">
        <f>IF(AND(C343="",D343=""),"",C343+D343)</f>
        <v/>
      </c>
      <c r="F343" s="25" t="n"/>
      <c r="G343" s="25" t="n"/>
      <c r="H343" s="26">
        <f>IF(OR(F343="",F343=0),"",G343/F343)</f>
        <v/>
      </c>
      <c r="I343" s="30">
        <f>IF(OR(E343="",E343=0),"",F343/E343)</f>
        <v/>
      </c>
      <c r="J343" s="5" t="n"/>
      <c r="K343" s="25" t="n"/>
      <c r="L343" s="5" t="n"/>
    </row>
    <row r="344">
      <c r="A344" s="5" t="n"/>
      <c r="B344" s="5">
        <f>IF(A344="","",TEXT(A344,"ddd"))</f>
        <v/>
      </c>
      <c r="C344" s="5" t="n"/>
      <c r="D344" s="5" t="n"/>
      <c r="E344" s="5">
        <f>IF(AND(C344="",D344=""),"",C344+D344)</f>
        <v/>
      </c>
      <c r="F344" s="25" t="n"/>
      <c r="G344" s="25" t="n"/>
      <c r="H344" s="26">
        <f>IF(OR(F344="",F344=0),"",G344/F344)</f>
        <v/>
      </c>
      <c r="I344" s="30">
        <f>IF(OR(E344="",E344=0),"",F344/E344)</f>
        <v/>
      </c>
      <c r="J344" s="5" t="n"/>
      <c r="K344" s="25" t="n"/>
      <c r="L344" s="5" t="n"/>
    </row>
    <row r="345">
      <c r="A345" s="5" t="n"/>
      <c r="B345" s="5">
        <f>IF(A345="","",TEXT(A345,"ddd"))</f>
        <v/>
      </c>
      <c r="C345" s="5" t="n"/>
      <c r="D345" s="5" t="n"/>
      <c r="E345" s="5">
        <f>IF(AND(C345="",D345=""),"",C345+D345)</f>
        <v/>
      </c>
      <c r="F345" s="25" t="n"/>
      <c r="G345" s="25" t="n"/>
      <c r="H345" s="26">
        <f>IF(OR(F345="",F345=0),"",G345/F345)</f>
        <v/>
      </c>
      <c r="I345" s="30">
        <f>IF(OR(E345="",E345=0),"",F345/E345)</f>
        <v/>
      </c>
      <c r="J345" s="5" t="n"/>
      <c r="K345" s="25" t="n"/>
      <c r="L345" s="5" t="n"/>
    </row>
    <row r="346">
      <c r="A346" s="5" t="n"/>
      <c r="B346" s="5">
        <f>IF(A346="","",TEXT(A346,"ddd"))</f>
        <v/>
      </c>
      <c r="C346" s="5" t="n"/>
      <c r="D346" s="5" t="n"/>
      <c r="E346" s="5">
        <f>IF(AND(C346="",D346=""),"",C346+D346)</f>
        <v/>
      </c>
      <c r="F346" s="25" t="n"/>
      <c r="G346" s="25" t="n"/>
      <c r="H346" s="26">
        <f>IF(OR(F346="",F346=0),"",G346/F346)</f>
        <v/>
      </c>
      <c r="I346" s="30">
        <f>IF(OR(E346="",E346=0),"",F346/E346)</f>
        <v/>
      </c>
      <c r="J346" s="5" t="n"/>
      <c r="K346" s="25" t="n"/>
      <c r="L346" s="5" t="n"/>
    </row>
    <row r="347">
      <c r="A347" s="5" t="n"/>
      <c r="B347" s="5">
        <f>IF(A347="","",TEXT(A347,"ddd"))</f>
        <v/>
      </c>
      <c r="C347" s="5" t="n"/>
      <c r="D347" s="5" t="n"/>
      <c r="E347" s="5">
        <f>IF(AND(C347="",D347=""),"",C347+D347)</f>
        <v/>
      </c>
      <c r="F347" s="25" t="n"/>
      <c r="G347" s="25" t="n"/>
      <c r="H347" s="26">
        <f>IF(OR(F347="",F347=0),"",G347/F347)</f>
        <v/>
      </c>
      <c r="I347" s="30">
        <f>IF(OR(E347="",E347=0),"",F347/E347)</f>
        <v/>
      </c>
      <c r="J347" s="5" t="n"/>
      <c r="K347" s="25" t="n"/>
      <c r="L347" s="5" t="n"/>
    </row>
    <row r="348">
      <c r="A348" s="5" t="n"/>
      <c r="B348" s="5">
        <f>IF(A348="","",TEXT(A348,"ddd"))</f>
        <v/>
      </c>
      <c r="C348" s="5" t="n"/>
      <c r="D348" s="5" t="n"/>
      <c r="E348" s="5">
        <f>IF(AND(C348="",D348=""),"",C348+D348)</f>
        <v/>
      </c>
      <c r="F348" s="25" t="n"/>
      <c r="G348" s="25" t="n"/>
      <c r="H348" s="26">
        <f>IF(OR(F348="",F348=0),"",G348/F348)</f>
        <v/>
      </c>
      <c r="I348" s="30">
        <f>IF(OR(E348="",E348=0),"",F348/E348)</f>
        <v/>
      </c>
      <c r="J348" s="5" t="n"/>
      <c r="K348" s="25" t="n"/>
      <c r="L348" s="5" t="n"/>
    </row>
    <row r="349">
      <c r="A349" s="5" t="n"/>
      <c r="B349" s="5">
        <f>IF(A349="","",TEXT(A349,"ddd"))</f>
        <v/>
      </c>
      <c r="C349" s="5" t="n"/>
      <c r="D349" s="5" t="n"/>
      <c r="E349" s="5">
        <f>IF(AND(C349="",D349=""),"",C349+D349)</f>
        <v/>
      </c>
      <c r="F349" s="25" t="n"/>
      <c r="G349" s="25" t="n"/>
      <c r="H349" s="26">
        <f>IF(OR(F349="",F349=0),"",G349/F349)</f>
        <v/>
      </c>
      <c r="I349" s="30">
        <f>IF(OR(E349="",E349=0),"",F349/E349)</f>
        <v/>
      </c>
      <c r="J349" s="5" t="n"/>
      <c r="K349" s="25" t="n"/>
      <c r="L349" s="5" t="n"/>
    </row>
    <row r="350">
      <c r="A350" s="5" t="n"/>
      <c r="B350" s="5">
        <f>IF(A350="","",TEXT(A350,"ddd"))</f>
        <v/>
      </c>
      <c r="C350" s="5" t="n"/>
      <c r="D350" s="5" t="n"/>
      <c r="E350" s="5">
        <f>IF(AND(C350="",D350=""),"",C350+D350)</f>
        <v/>
      </c>
      <c r="F350" s="25" t="n"/>
      <c r="G350" s="25" t="n"/>
      <c r="H350" s="26">
        <f>IF(OR(F350="",F350=0),"",G350/F350)</f>
        <v/>
      </c>
      <c r="I350" s="30">
        <f>IF(OR(E350="",E350=0),"",F350/E350)</f>
        <v/>
      </c>
      <c r="J350" s="5" t="n"/>
      <c r="K350" s="25" t="n"/>
      <c r="L350" s="5" t="n"/>
    </row>
    <row r="351">
      <c r="A351" s="5" t="n"/>
      <c r="B351" s="5">
        <f>IF(A351="","",TEXT(A351,"ddd"))</f>
        <v/>
      </c>
      <c r="C351" s="5" t="n"/>
      <c r="D351" s="5" t="n"/>
      <c r="E351" s="5">
        <f>IF(AND(C351="",D351=""),"",C351+D351)</f>
        <v/>
      </c>
      <c r="F351" s="25" t="n"/>
      <c r="G351" s="25" t="n"/>
      <c r="H351" s="26">
        <f>IF(OR(F351="",F351=0),"",G351/F351)</f>
        <v/>
      </c>
      <c r="I351" s="30">
        <f>IF(OR(E351="",E351=0),"",F351/E351)</f>
        <v/>
      </c>
      <c r="J351" s="5" t="n"/>
      <c r="K351" s="25" t="n"/>
      <c r="L351" s="5" t="n"/>
    </row>
    <row r="352">
      <c r="A352" s="5" t="n"/>
      <c r="B352" s="5">
        <f>IF(A352="","",TEXT(A352,"ddd"))</f>
        <v/>
      </c>
      <c r="C352" s="5" t="n"/>
      <c r="D352" s="5" t="n"/>
      <c r="E352" s="5">
        <f>IF(AND(C352="",D352=""),"",C352+D352)</f>
        <v/>
      </c>
      <c r="F352" s="25" t="n"/>
      <c r="G352" s="25" t="n"/>
      <c r="H352" s="26">
        <f>IF(OR(F352="",F352=0),"",G352/F352)</f>
        <v/>
      </c>
      <c r="I352" s="30">
        <f>IF(OR(E352="",E352=0),"",F352/E352)</f>
        <v/>
      </c>
      <c r="J352" s="5" t="n"/>
      <c r="K352" s="25" t="n"/>
      <c r="L352" s="5" t="n"/>
    </row>
    <row r="353">
      <c r="A353" s="5" t="n"/>
      <c r="B353" s="5">
        <f>IF(A353="","",TEXT(A353,"ddd"))</f>
        <v/>
      </c>
      <c r="C353" s="5" t="n"/>
      <c r="D353" s="5" t="n"/>
      <c r="E353" s="5">
        <f>IF(AND(C353="",D353=""),"",C353+D353)</f>
        <v/>
      </c>
      <c r="F353" s="25" t="n"/>
      <c r="G353" s="25" t="n"/>
      <c r="H353" s="26">
        <f>IF(OR(F353="",F353=0),"",G353/F353)</f>
        <v/>
      </c>
      <c r="I353" s="30">
        <f>IF(OR(E353="",E353=0),"",F353/E353)</f>
        <v/>
      </c>
      <c r="J353" s="5" t="n"/>
      <c r="K353" s="25" t="n"/>
      <c r="L353" s="5" t="n"/>
    </row>
    <row r="354">
      <c r="A354" s="5" t="n"/>
      <c r="B354" s="5">
        <f>IF(A354="","",TEXT(A354,"ddd"))</f>
        <v/>
      </c>
      <c r="C354" s="5" t="n"/>
      <c r="D354" s="5" t="n"/>
      <c r="E354" s="5">
        <f>IF(AND(C354="",D354=""),"",C354+D354)</f>
        <v/>
      </c>
      <c r="F354" s="25" t="n"/>
      <c r="G354" s="25" t="n"/>
      <c r="H354" s="26">
        <f>IF(OR(F354="",F354=0),"",G354/F354)</f>
        <v/>
      </c>
      <c r="I354" s="30">
        <f>IF(OR(E354="",E354=0),"",F354/E354)</f>
        <v/>
      </c>
      <c r="J354" s="5" t="n"/>
      <c r="K354" s="25" t="n"/>
      <c r="L354" s="5" t="n"/>
    </row>
    <row r="355">
      <c r="A355" s="5" t="n"/>
      <c r="B355" s="5">
        <f>IF(A355="","",TEXT(A355,"ddd"))</f>
        <v/>
      </c>
      <c r="C355" s="5" t="n"/>
      <c r="D355" s="5" t="n"/>
      <c r="E355" s="5">
        <f>IF(AND(C355="",D355=""),"",C355+D355)</f>
        <v/>
      </c>
      <c r="F355" s="25" t="n"/>
      <c r="G355" s="25" t="n"/>
      <c r="H355" s="26">
        <f>IF(OR(F355="",F355=0),"",G355/F355)</f>
        <v/>
      </c>
      <c r="I355" s="30">
        <f>IF(OR(E355="",E355=0),"",F355/E355)</f>
        <v/>
      </c>
      <c r="J355" s="5" t="n"/>
      <c r="K355" s="25" t="n"/>
      <c r="L355" s="5" t="n"/>
    </row>
    <row r="356">
      <c r="A356" s="5" t="n"/>
      <c r="B356" s="5">
        <f>IF(A356="","",TEXT(A356,"ddd"))</f>
        <v/>
      </c>
      <c r="C356" s="5" t="n"/>
      <c r="D356" s="5" t="n"/>
      <c r="E356" s="5">
        <f>IF(AND(C356="",D356=""),"",C356+D356)</f>
        <v/>
      </c>
      <c r="F356" s="25" t="n"/>
      <c r="G356" s="25" t="n"/>
      <c r="H356" s="26">
        <f>IF(OR(F356="",F356=0),"",G356/F356)</f>
        <v/>
      </c>
      <c r="I356" s="30">
        <f>IF(OR(E356="",E356=0),"",F356/E356)</f>
        <v/>
      </c>
      <c r="J356" s="5" t="n"/>
      <c r="K356" s="25" t="n"/>
      <c r="L356" s="5" t="n"/>
    </row>
    <row r="357">
      <c r="A357" s="5" t="n"/>
      <c r="B357" s="5">
        <f>IF(A357="","",TEXT(A357,"ddd"))</f>
        <v/>
      </c>
      <c r="C357" s="5" t="n"/>
      <c r="D357" s="5" t="n"/>
      <c r="E357" s="5">
        <f>IF(AND(C357="",D357=""),"",C357+D357)</f>
        <v/>
      </c>
      <c r="F357" s="25" t="n"/>
      <c r="G357" s="25" t="n"/>
      <c r="H357" s="26">
        <f>IF(OR(F357="",F357=0),"",G357/F357)</f>
        <v/>
      </c>
      <c r="I357" s="30">
        <f>IF(OR(E357="",E357=0),"",F357/E357)</f>
        <v/>
      </c>
      <c r="J357" s="5" t="n"/>
      <c r="K357" s="25" t="n"/>
      <c r="L357" s="5" t="n"/>
    </row>
    <row r="358">
      <c r="A358" s="5" t="n"/>
      <c r="B358" s="5">
        <f>IF(A358="","",TEXT(A358,"ddd"))</f>
        <v/>
      </c>
      <c r="C358" s="5" t="n"/>
      <c r="D358" s="5" t="n"/>
      <c r="E358" s="5">
        <f>IF(AND(C358="",D358=""),"",C358+D358)</f>
        <v/>
      </c>
      <c r="F358" s="25" t="n"/>
      <c r="G358" s="25" t="n"/>
      <c r="H358" s="26">
        <f>IF(OR(F358="",F358=0),"",G358/F358)</f>
        <v/>
      </c>
      <c r="I358" s="30">
        <f>IF(OR(E358="",E358=0),"",F358/E358)</f>
        <v/>
      </c>
      <c r="J358" s="5" t="n"/>
      <c r="K358" s="25" t="n"/>
      <c r="L358" s="5" t="n"/>
    </row>
    <row r="359">
      <c r="A359" s="5" t="n"/>
      <c r="B359" s="5">
        <f>IF(A359="","",TEXT(A359,"ddd"))</f>
        <v/>
      </c>
      <c r="C359" s="5" t="n"/>
      <c r="D359" s="5" t="n"/>
      <c r="E359" s="5">
        <f>IF(AND(C359="",D359=""),"",C359+D359)</f>
        <v/>
      </c>
      <c r="F359" s="25" t="n"/>
      <c r="G359" s="25" t="n"/>
      <c r="H359" s="26">
        <f>IF(OR(F359="",F359=0),"",G359/F359)</f>
        <v/>
      </c>
      <c r="I359" s="30">
        <f>IF(OR(E359="",E359=0),"",F359/E359)</f>
        <v/>
      </c>
      <c r="J359" s="5" t="n"/>
      <c r="K359" s="25" t="n"/>
      <c r="L359" s="5" t="n"/>
    </row>
    <row r="360">
      <c r="A360" s="5" t="n"/>
      <c r="B360" s="5">
        <f>IF(A360="","",TEXT(A360,"ddd"))</f>
        <v/>
      </c>
      <c r="C360" s="5" t="n"/>
      <c r="D360" s="5" t="n"/>
      <c r="E360" s="5">
        <f>IF(AND(C360="",D360=""),"",C360+D360)</f>
        <v/>
      </c>
      <c r="F360" s="25" t="n"/>
      <c r="G360" s="25" t="n"/>
      <c r="H360" s="26">
        <f>IF(OR(F360="",F360=0),"",G360/F360)</f>
        <v/>
      </c>
      <c r="I360" s="30">
        <f>IF(OR(E360="",E360=0),"",F360/E360)</f>
        <v/>
      </c>
      <c r="J360" s="5" t="n"/>
      <c r="K360" s="25" t="n"/>
      <c r="L360" s="5" t="n"/>
    </row>
    <row r="361">
      <c r="A361" s="5" t="n"/>
      <c r="B361" s="5">
        <f>IF(A361="","",TEXT(A361,"ddd"))</f>
        <v/>
      </c>
      <c r="C361" s="5" t="n"/>
      <c r="D361" s="5" t="n"/>
      <c r="E361" s="5">
        <f>IF(AND(C361="",D361=""),"",C361+D361)</f>
        <v/>
      </c>
      <c r="F361" s="25" t="n"/>
      <c r="G361" s="25" t="n"/>
      <c r="H361" s="26">
        <f>IF(OR(F361="",F361=0),"",G361/F361)</f>
        <v/>
      </c>
      <c r="I361" s="30">
        <f>IF(OR(E361="",E361=0),"",F361/E361)</f>
        <v/>
      </c>
      <c r="J361" s="5" t="n"/>
      <c r="K361" s="25" t="n"/>
      <c r="L361" s="5" t="n"/>
    </row>
    <row r="362">
      <c r="A362" s="5" t="n"/>
      <c r="B362" s="5">
        <f>IF(A362="","",TEXT(A362,"ddd"))</f>
        <v/>
      </c>
      <c r="C362" s="5" t="n"/>
      <c r="D362" s="5" t="n"/>
      <c r="E362" s="5">
        <f>IF(AND(C362="",D362=""),"",C362+D362)</f>
        <v/>
      </c>
      <c r="F362" s="25" t="n"/>
      <c r="G362" s="25" t="n"/>
      <c r="H362" s="26">
        <f>IF(OR(F362="",F362=0),"",G362/F362)</f>
        <v/>
      </c>
      <c r="I362" s="30">
        <f>IF(OR(E362="",E362=0),"",F362/E362)</f>
        <v/>
      </c>
      <c r="J362" s="5" t="n"/>
      <c r="K362" s="25" t="n"/>
      <c r="L362" s="5" t="n"/>
    </row>
    <row r="363">
      <c r="A363" s="5" t="n"/>
      <c r="B363" s="5">
        <f>IF(A363="","",TEXT(A363,"ddd"))</f>
        <v/>
      </c>
      <c r="C363" s="5" t="n"/>
      <c r="D363" s="5" t="n"/>
      <c r="E363" s="5">
        <f>IF(AND(C363="",D363=""),"",C363+D363)</f>
        <v/>
      </c>
      <c r="F363" s="25" t="n"/>
      <c r="G363" s="25" t="n"/>
      <c r="H363" s="26">
        <f>IF(OR(F363="",F363=0),"",G363/F363)</f>
        <v/>
      </c>
      <c r="I363" s="30">
        <f>IF(OR(E363="",E363=0),"",F363/E363)</f>
        <v/>
      </c>
      <c r="J363" s="5" t="n"/>
      <c r="K363" s="25" t="n"/>
      <c r="L363" s="5" t="n"/>
    </row>
    <row r="364">
      <c r="A364" s="5" t="n"/>
      <c r="B364" s="5">
        <f>IF(A364="","",TEXT(A364,"ddd"))</f>
        <v/>
      </c>
      <c r="C364" s="5" t="n"/>
      <c r="D364" s="5" t="n"/>
      <c r="E364" s="5">
        <f>IF(AND(C364="",D364=""),"",C364+D364)</f>
        <v/>
      </c>
      <c r="F364" s="25" t="n"/>
      <c r="G364" s="25" t="n"/>
      <c r="H364" s="26">
        <f>IF(OR(F364="",F364=0),"",G364/F364)</f>
        <v/>
      </c>
      <c r="I364" s="30">
        <f>IF(OR(E364="",E364=0),"",F364/E364)</f>
        <v/>
      </c>
      <c r="J364" s="5" t="n"/>
      <c r="K364" s="25" t="n"/>
      <c r="L364" s="5" t="n"/>
    </row>
    <row r="365">
      <c r="A365" s="5" t="n"/>
      <c r="B365" s="5">
        <f>IF(A365="","",TEXT(A365,"ddd"))</f>
        <v/>
      </c>
      <c r="C365" s="5" t="n"/>
      <c r="D365" s="5" t="n"/>
      <c r="E365" s="5">
        <f>IF(AND(C365="",D365=""),"",C365+D365)</f>
        <v/>
      </c>
      <c r="F365" s="25" t="n"/>
      <c r="G365" s="25" t="n"/>
      <c r="H365" s="26">
        <f>IF(OR(F365="",F365=0),"",G365/F365)</f>
        <v/>
      </c>
      <c r="I365" s="30">
        <f>IF(OR(E365="",E365=0),"",F365/E365)</f>
        <v/>
      </c>
      <c r="J365" s="5" t="n"/>
      <c r="K365" s="25" t="n"/>
      <c r="L365" s="5" t="n"/>
    </row>
    <row r="366">
      <c r="A366" s="5" t="n"/>
      <c r="B366" s="5">
        <f>IF(A366="","",TEXT(A366,"ddd"))</f>
        <v/>
      </c>
      <c r="C366" s="5" t="n"/>
      <c r="D366" s="5" t="n"/>
      <c r="E366" s="5">
        <f>IF(AND(C366="",D366=""),"",C366+D366)</f>
        <v/>
      </c>
      <c r="F366" s="25" t="n"/>
      <c r="G366" s="25" t="n"/>
      <c r="H366" s="26">
        <f>IF(OR(F366="",F366=0),"",G366/F366)</f>
        <v/>
      </c>
      <c r="I366" s="30">
        <f>IF(OR(E366="",E366=0),"",F366/E366)</f>
        <v/>
      </c>
      <c r="J366" s="5" t="n"/>
      <c r="K366" s="25" t="n"/>
      <c r="L366" s="5" t="n"/>
    </row>
    <row r="367">
      <c r="A367" s="5" t="n"/>
      <c r="B367" s="5">
        <f>IF(A367="","",TEXT(A367,"ddd"))</f>
        <v/>
      </c>
      <c r="C367" s="5" t="n"/>
      <c r="D367" s="5" t="n"/>
      <c r="E367" s="5">
        <f>IF(AND(C367="",D367=""),"",C367+D367)</f>
        <v/>
      </c>
      <c r="F367" s="25" t="n"/>
      <c r="G367" s="25" t="n"/>
      <c r="H367" s="26">
        <f>IF(OR(F367="",F367=0),"",G367/F367)</f>
        <v/>
      </c>
      <c r="I367" s="30">
        <f>IF(OR(E367="",E367=0),"",F367/E367)</f>
        <v/>
      </c>
      <c r="J367" s="5" t="n"/>
      <c r="K367" s="25" t="n"/>
      <c r="L367" s="5" t="n"/>
    </row>
    <row r="368">
      <c r="A368" s="5" t="n"/>
      <c r="B368" s="5">
        <f>IF(A368="","",TEXT(A368,"ddd"))</f>
        <v/>
      </c>
      <c r="C368" s="5" t="n"/>
      <c r="D368" s="5" t="n"/>
      <c r="E368" s="5">
        <f>IF(AND(C368="",D368=""),"",C368+D368)</f>
        <v/>
      </c>
      <c r="F368" s="25" t="n"/>
      <c r="G368" s="25" t="n"/>
      <c r="H368" s="26">
        <f>IF(OR(F368="",F368=0),"",G368/F368)</f>
        <v/>
      </c>
      <c r="I368" s="30">
        <f>IF(OR(E368="",E368=0),"",F368/E368)</f>
        <v/>
      </c>
      <c r="J368" s="5" t="n"/>
      <c r="K368" s="25" t="n"/>
      <c r="L368" s="5" t="n"/>
    </row>
    <row r="369">
      <c r="A369" s="5" t="n"/>
      <c r="B369" s="5">
        <f>IF(A369="","",TEXT(A369,"ddd"))</f>
        <v/>
      </c>
      <c r="C369" s="5" t="n"/>
      <c r="D369" s="5" t="n"/>
      <c r="E369" s="5">
        <f>IF(AND(C369="",D369=""),"",C369+D369)</f>
        <v/>
      </c>
      <c r="F369" s="25" t="n"/>
      <c r="G369" s="25" t="n"/>
      <c r="H369" s="26">
        <f>IF(OR(F369="",F369=0),"",G369/F369)</f>
        <v/>
      </c>
      <c r="I369" s="30">
        <f>IF(OR(E369="",E369=0),"",F369/E369)</f>
        <v/>
      </c>
      <c r="J369" s="5" t="n"/>
      <c r="K369" s="25" t="n"/>
      <c r="L369" s="5" t="n"/>
    </row>
    <row r="370">
      <c r="A370" s="5" t="n"/>
      <c r="B370" s="5">
        <f>IF(A370="","",TEXT(A370,"ddd"))</f>
        <v/>
      </c>
      <c r="C370" s="5" t="n"/>
      <c r="D370" s="5" t="n"/>
      <c r="E370" s="5">
        <f>IF(AND(C370="",D370=""),"",C370+D370)</f>
        <v/>
      </c>
      <c r="F370" s="25" t="n"/>
      <c r="G370" s="25" t="n"/>
      <c r="H370" s="26">
        <f>IF(OR(F370="",F370=0),"",G370/F370)</f>
        <v/>
      </c>
      <c r="I370" s="30">
        <f>IF(OR(E370="",E370=0),"",F370/E370)</f>
        <v/>
      </c>
      <c r="J370" s="5" t="n"/>
      <c r="K370" s="25" t="n"/>
      <c r="L370" s="5" t="n"/>
    </row>
    <row r="371">
      <c r="A371" s="5" t="n"/>
      <c r="B371" s="5">
        <f>IF(A371="","",TEXT(A371,"ddd"))</f>
        <v/>
      </c>
      <c r="C371" s="5" t="n"/>
      <c r="D371" s="5" t="n"/>
      <c r="E371" s="5">
        <f>IF(AND(C371="",D371=""),"",C371+D371)</f>
        <v/>
      </c>
      <c r="F371" s="25" t="n"/>
      <c r="G371" s="25" t="n"/>
      <c r="H371" s="26">
        <f>IF(OR(F371="",F371=0),"",G371/F371)</f>
        <v/>
      </c>
      <c r="I371" s="30">
        <f>IF(OR(E371="",E371=0),"",F371/E371)</f>
        <v/>
      </c>
      <c r="J371" s="5" t="n"/>
      <c r="K371" s="25" t="n"/>
      <c r="L371" s="5" t="n"/>
    </row>
    <row r="372">
      <c r="A372" s="5" t="n"/>
      <c r="B372" s="5">
        <f>IF(A372="","",TEXT(A372,"ddd"))</f>
        <v/>
      </c>
      <c r="C372" s="5" t="n"/>
      <c r="D372" s="5" t="n"/>
      <c r="E372" s="5">
        <f>IF(AND(C372="",D372=""),"",C372+D372)</f>
        <v/>
      </c>
      <c r="F372" s="25" t="n"/>
      <c r="G372" s="25" t="n"/>
      <c r="H372" s="26">
        <f>IF(OR(F372="",F372=0),"",G372/F372)</f>
        <v/>
      </c>
      <c r="I372" s="30">
        <f>IF(OR(E372="",E372=0),"",F372/E372)</f>
        <v/>
      </c>
      <c r="J372" s="5" t="n"/>
      <c r="K372" s="25" t="n"/>
      <c r="L372" s="5" t="n"/>
    </row>
    <row r="373">
      <c r="A373" s="5" t="n"/>
      <c r="B373" s="5">
        <f>IF(A373="","",TEXT(A373,"ddd"))</f>
        <v/>
      </c>
      <c r="C373" s="5" t="n"/>
      <c r="D373" s="5" t="n"/>
      <c r="E373" s="5">
        <f>IF(AND(C373="",D373=""),"",C373+D373)</f>
        <v/>
      </c>
      <c r="F373" s="25" t="n"/>
      <c r="G373" s="25" t="n"/>
      <c r="H373" s="26">
        <f>IF(OR(F373="",F373=0),"",G373/F373)</f>
        <v/>
      </c>
      <c r="I373" s="30">
        <f>IF(OR(E373="",E373=0),"",F373/E373)</f>
        <v/>
      </c>
      <c r="J373" s="5" t="n"/>
      <c r="K373" s="25" t="n"/>
      <c r="L373" s="5" t="n"/>
    </row>
    <row r="374">
      <c r="A374" s="5" t="n"/>
      <c r="B374" s="5">
        <f>IF(A374="","",TEXT(A374,"ddd"))</f>
        <v/>
      </c>
      <c r="C374" s="5" t="n"/>
      <c r="D374" s="5" t="n"/>
      <c r="E374" s="5">
        <f>IF(AND(C374="",D374=""),"",C374+D374)</f>
        <v/>
      </c>
      <c r="F374" s="25" t="n"/>
      <c r="G374" s="25" t="n"/>
      <c r="H374" s="26">
        <f>IF(OR(F374="",F374=0),"",G374/F374)</f>
        <v/>
      </c>
      <c r="I374" s="30">
        <f>IF(OR(E374="",E374=0),"",F374/E374)</f>
        <v/>
      </c>
      <c r="J374" s="5" t="n"/>
      <c r="K374" s="25" t="n"/>
      <c r="L374" s="5" t="n"/>
    </row>
    <row r="375">
      <c r="A375" s="5" t="n"/>
      <c r="B375" s="5">
        <f>IF(A375="","",TEXT(A375,"ddd"))</f>
        <v/>
      </c>
      <c r="C375" s="5" t="n"/>
      <c r="D375" s="5" t="n"/>
      <c r="E375" s="5">
        <f>IF(AND(C375="",D375=""),"",C375+D375)</f>
        <v/>
      </c>
      <c r="F375" s="25" t="n"/>
      <c r="G375" s="25" t="n"/>
      <c r="H375" s="26">
        <f>IF(OR(F375="",F375=0),"",G375/F375)</f>
        <v/>
      </c>
      <c r="I375" s="30">
        <f>IF(OR(E375="",E375=0),"",F375/E375)</f>
        <v/>
      </c>
      <c r="J375" s="5" t="n"/>
      <c r="K375" s="25" t="n"/>
      <c r="L375" s="5" t="n"/>
    </row>
    <row r="376">
      <c r="A376" s="5" t="n"/>
      <c r="B376" s="5">
        <f>IF(A376="","",TEXT(A376,"ddd"))</f>
        <v/>
      </c>
      <c r="C376" s="5" t="n"/>
      <c r="D376" s="5" t="n"/>
      <c r="E376" s="5">
        <f>IF(AND(C376="",D376=""),"",C376+D376)</f>
        <v/>
      </c>
      <c r="F376" s="25" t="n"/>
      <c r="G376" s="25" t="n"/>
      <c r="H376" s="26">
        <f>IF(OR(F376="",F376=0),"",G376/F376)</f>
        <v/>
      </c>
      <c r="I376" s="30">
        <f>IF(OR(E376="",E376=0),"",F376/E376)</f>
        <v/>
      </c>
      <c r="J376" s="5" t="n"/>
      <c r="K376" s="25" t="n"/>
      <c r="L376" s="5" t="n"/>
    </row>
    <row r="377">
      <c r="A377" s="5" t="n"/>
      <c r="B377" s="5">
        <f>IF(A377="","",TEXT(A377,"ddd"))</f>
        <v/>
      </c>
      <c r="C377" s="5" t="n"/>
      <c r="D377" s="5" t="n"/>
      <c r="E377" s="5">
        <f>IF(AND(C377="",D377=""),"",C377+D377)</f>
        <v/>
      </c>
      <c r="F377" s="25" t="n"/>
      <c r="G377" s="25" t="n"/>
      <c r="H377" s="26">
        <f>IF(OR(F377="",F377=0),"",G377/F377)</f>
        <v/>
      </c>
      <c r="I377" s="30">
        <f>IF(OR(E377="",E377=0),"",F377/E377)</f>
        <v/>
      </c>
      <c r="J377" s="5" t="n"/>
      <c r="K377" s="25" t="n"/>
      <c r="L377" s="5" t="n"/>
    </row>
    <row r="378">
      <c r="A378" s="5" t="n"/>
      <c r="B378" s="5">
        <f>IF(A378="","",TEXT(A378,"ddd"))</f>
        <v/>
      </c>
      <c r="C378" s="5" t="n"/>
      <c r="D378" s="5" t="n"/>
      <c r="E378" s="5">
        <f>IF(AND(C378="",D378=""),"",C378+D378)</f>
        <v/>
      </c>
      <c r="F378" s="25" t="n"/>
      <c r="G378" s="25" t="n"/>
      <c r="H378" s="26">
        <f>IF(OR(F378="",F378=0),"",G378/F378)</f>
        <v/>
      </c>
      <c r="I378" s="30">
        <f>IF(OR(E378="",E378=0),"",F378/E378)</f>
        <v/>
      </c>
      <c r="J378" s="5" t="n"/>
      <c r="K378" s="25" t="n"/>
      <c r="L378" s="5" t="n"/>
    </row>
    <row r="379">
      <c r="A379" s="5" t="n"/>
      <c r="B379" s="5">
        <f>IF(A379="","",TEXT(A379,"ddd"))</f>
        <v/>
      </c>
      <c r="C379" s="5" t="n"/>
      <c r="D379" s="5" t="n"/>
      <c r="E379" s="5">
        <f>IF(AND(C379="",D379=""),"",C379+D379)</f>
        <v/>
      </c>
      <c r="F379" s="25" t="n"/>
      <c r="G379" s="25" t="n"/>
      <c r="H379" s="26">
        <f>IF(OR(F379="",F379=0),"",G379/F379)</f>
        <v/>
      </c>
      <c r="I379" s="30">
        <f>IF(OR(E379="",E379=0),"",F379/E379)</f>
        <v/>
      </c>
      <c r="J379" s="5" t="n"/>
      <c r="K379" s="25" t="n"/>
      <c r="L379" s="5" t="n"/>
    </row>
    <row r="380">
      <c r="A380" s="5" t="n"/>
      <c r="B380" s="5">
        <f>IF(A380="","",TEXT(A380,"ddd"))</f>
        <v/>
      </c>
      <c r="C380" s="5" t="n"/>
      <c r="D380" s="5" t="n"/>
      <c r="E380" s="5">
        <f>IF(AND(C380="",D380=""),"",C380+D380)</f>
        <v/>
      </c>
      <c r="F380" s="25" t="n"/>
      <c r="G380" s="25" t="n"/>
      <c r="H380" s="26">
        <f>IF(OR(F380="",F380=0),"",G380/F380)</f>
        <v/>
      </c>
      <c r="I380" s="30">
        <f>IF(OR(E380="",E380=0),"",F380/E380)</f>
        <v/>
      </c>
      <c r="J380" s="5" t="n"/>
      <c r="K380" s="25" t="n"/>
      <c r="L380" s="5" t="n"/>
    </row>
    <row r="381">
      <c r="A381" s="5" t="n"/>
      <c r="B381" s="5">
        <f>IF(A381="","",TEXT(A381,"ddd"))</f>
        <v/>
      </c>
      <c r="C381" s="5" t="n"/>
      <c r="D381" s="5" t="n"/>
      <c r="E381" s="5">
        <f>IF(AND(C381="",D381=""),"",C381+D381)</f>
        <v/>
      </c>
      <c r="F381" s="25" t="n"/>
      <c r="G381" s="25" t="n"/>
      <c r="H381" s="26">
        <f>IF(OR(F381="",F381=0),"",G381/F381)</f>
        <v/>
      </c>
      <c r="I381" s="30">
        <f>IF(OR(E381="",E381=0),"",F381/E381)</f>
        <v/>
      </c>
      <c r="J381" s="5" t="n"/>
      <c r="K381" s="25" t="n"/>
      <c r="L381" s="5" t="n"/>
    </row>
    <row r="382">
      <c r="A382" s="5" t="n"/>
      <c r="B382" s="5">
        <f>IF(A382="","",TEXT(A382,"ddd"))</f>
        <v/>
      </c>
      <c r="C382" s="5" t="n"/>
      <c r="D382" s="5" t="n"/>
      <c r="E382" s="5">
        <f>IF(AND(C382="",D382=""),"",C382+D382)</f>
        <v/>
      </c>
      <c r="F382" s="25" t="n"/>
      <c r="G382" s="25" t="n"/>
      <c r="H382" s="26">
        <f>IF(OR(F382="",F382=0),"",G382/F382)</f>
        <v/>
      </c>
      <c r="I382" s="30">
        <f>IF(OR(E382="",E382=0),"",F382/E382)</f>
        <v/>
      </c>
      <c r="J382" s="5" t="n"/>
      <c r="K382" s="25" t="n"/>
      <c r="L382" s="5" t="n"/>
    </row>
    <row r="383">
      <c r="A383" s="5" t="n"/>
      <c r="B383" s="5">
        <f>IF(A383="","",TEXT(A383,"ddd"))</f>
        <v/>
      </c>
      <c r="C383" s="5" t="n"/>
      <c r="D383" s="5" t="n"/>
      <c r="E383" s="5">
        <f>IF(AND(C383="",D383=""),"",C383+D383)</f>
        <v/>
      </c>
      <c r="F383" s="25" t="n"/>
      <c r="G383" s="25" t="n"/>
      <c r="H383" s="26">
        <f>IF(OR(F383="",F383=0),"",G383/F383)</f>
        <v/>
      </c>
      <c r="I383" s="30">
        <f>IF(OR(E383="",E383=0),"",F383/E383)</f>
        <v/>
      </c>
      <c r="J383" s="5" t="n"/>
      <c r="K383" s="25" t="n"/>
      <c r="L383" s="5" t="n"/>
    </row>
    <row r="384">
      <c r="A384" s="5" t="n"/>
      <c r="B384" s="5">
        <f>IF(A384="","",TEXT(A384,"ddd"))</f>
        <v/>
      </c>
      <c r="C384" s="5" t="n"/>
      <c r="D384" s="5" t="n"/>
      <c r="E384" s="5">
        <f>IF(AND(C384="",D384=""),"",C384+D384)</f>
        <v/>
      </c>
      <c r="F384" s="25" t="n"/>
      <c r="G384" s="25" t="n"/>
      <c r="H384" s="26">
        <f>IF(OR(F384="",F384=0),"",G384/F384)</f>
        <v/>
      </c>
      <c r="I384" s="30">
        <f>IF(OR(E384="",E384=0),"",F384/E384)</f>
        <v/>
      </c>
      <c r="J384" s="5" t="n"/>
      <c r="K384" s="25" t="n"/>
      <c r="L384" s="5" t="n"/>
    </row>
    <row r="385">
      <c r="A385" s="5" t="n"/>
      <c r="B385" s="5">
        <f>IF(A385="","",TEXT(A385,"ddd"))</f>
        <v/>
      </c>
      <c r="C385" s="5" t="n"/>
      <c r="D385" s="5" t="n"/>
      <c r="E385" s="5">
        <f>IF(AND(C385="",D385=""),"",C385+D385)</f>
        <v/>
      </c>
      <c r="F385" s="25" t="n"/>
      <c r="G385" s="25" t="n"/>
      <c r="H385" s="26">
        <f>IF(OR(F385="",F385=0),"",G385/F385)</f>
        <v/>
      </c>
      <c r="I385" s="30">
        <f>IF(OR(E385="",E385=0),"",F385/E385)</f>
        <v/>
      </c>
      <c r="J385" s="5" t="n"/>
      <c r="K385" s="25" t="n"/>
      <c r="L385" s="5" t="n"/>
    </row>
    <row r="386">
      <c r="A386" s="5" t="n"/>
      <c r="B386" s="5">
        <f>IF(A386="","",TEXT(A386,"ddd"))</f>
        <v/>
      </c>
      <c r="C386" s="5" t="n"/>
      <c r="D386" s="5" t="n"/>
      <c r="E386" s="5">
        <f>IF(AND(C386="",D386=""),"",C386+D386)</f>
        <v/>
      </c>
      <c r="F386" s="25" t="n"/>
      <c r="G386" s="25" t="n"/>
      <c r="H386" s="26">
        <f>IF(OR(F386="",F386=0),"",G386/F386)</f>
        <v/>
      </c>
      <c r="I386" s="30">
        <f>IF(OR(E386="",E386=0),"",F386/E386)</f>
        <v/>
      </c>
      <c r="J386" s="5" t="n"/>
      <c r="K386" s="25" t="n"/>
      <c r="L386" s="5" t="n"/>
    </row>
    <row r="387">
      <c r="A387" s="5" t="n"/>
      <c r="B387" s="5">
        <f>IF(A387="","",TEXT(A387,"ddd"))</f>
        <v/>
      </c>
      <c r="C387" s="5" t="n"/>
      <c r="D387" s="5" t="n"/>
      <c r="E387" s="5">
        <f>IF(AND(C387="",D387=""),"",C387+D387)</f>
        <v/>
      </c>
      <c r="F387" s="25" t="n"/>
      <c r="G387" s="25" t="n"/>
      <c r="H387" s="26">
        <f>IF(OR(F387="",F387=0),"",G387/F387)</f>
        <v/>
      </c>
      <c r="I387" s="30">
        <f>IF(OR(E387="",E387=0),"",F387/E387)</f>
        <v/>
      </c>
      <c r="J387" s="5" t="n"/>
      <c r="K387" s="25" t="n"/>
      <c r="L387" s="5" t="n"/>
    </row>
    <row r="388">
      <c r="A388" s="5" t="n"/>
      <c r="B388" s="5">
        <f>IF(A388="","",TEXT(A388,"ddd"))</f>
        <v/>
      </c>
      <c r="C388" s="5" t="n"/>
      <c r="D388" s="5" t="n"/>
      <c r="E388" s="5">
        <f>IF(AND(C388="",D388=""),"",C388+D388)</f>
        <v/>
      </c>
      <c r="F388" s="25" t="n"/>
      <c r="G388" s="25" t="n"/>
      <c r="H388" s="26">
        <f>IF(OR(F388="",F388=0),"",G388/F388)</f>
        <v/>
      </c>
      <c r="I388" s="30">
        <f>IF(OR(E388="",E388=0),"",F388/E388)</f>
        <v/>
      </c>
      <c r="J388" s="5" t="n"/>
      <c r="K388" s="25" t="n"/>
      <c r="L388" s="5" t="n"/>
    </row>
    <row r="389">
      <c r="A389" s="5" t="n"/>
      <c r="B389" s="5">
        <f>IF(A389="","",TEXT(A389,"ddd"))</f>
        <v/>
      </c>
      <c r="C389" s="5" t="n"/>
      <c r="D389" s="5" t="n"/>
      <c r="E389" s="5">
        <f>IF(AND(C389="",D389=""),"",C389+D389)</f>
        <v/>
      </c>
      <c r="F389" s="25" t="n"/>
      <c r="G389" s="25" t="n"/>
      <c r="H389" s="26">
        <f>IF(OR(F389="",F389=0),"",G389/F389)</f>
        <v/>
      </c>
      <c r="I389" s="30">
        <f>IF(OR(E389="",E389=0),"",F389/E389)</f>
        <v/>
      </c>
      <c r="J389" s="5" t="n"/>
      <c r="K389" s="25" t="n"/>
      <c r="L389" s="5" t="n"/>
    </row>
    <row r="390">
      <c r="A390" s="5" t="n"/>
      <c r="B390" s="5">
        <f>IF(A390="","",TEXT(A390,"ddd"))</f>
        <v/>
      </c>
      <c r="C390" s="5" t="n"/>
      <c r="D390" s="5" t="n"/>
      <c r="E390" s="5">
        <f>IF(AND(C390="",D390=""),"",C390+D390)</f>
        <v/>
      </c>
      <c r="F390" s="25" t="n"/>
      <c r="G390" s="25" t="n"/>
      <c r="H390" s="26">
        <f>IF(OR(F390="",F390=0),"",G390/F390)</f>
        <v/>
      </c>
      <c r="I390" s="30">
        <f>IF(OR(E390="",E390=0),"",F390/E390)</f>
        <v/>
      </c>
      <c r="J390" s="5" t="n"/>
      <c r="K390" s="25" t="n"/>
      <c r="L390" s="5" t="n"/>
    </row>
    <row r="391">
      <c r="A391" s="5" t="n"/>
      <c r="B391" s="5">
        <f>IF(A391="","",TEXT(A391,"ddd"))</f>
        <v/>
      </c>
      <c r="C391" s="5" t="n"/>
      <c r="D391" s="5" t="n"/>
      <c r="E391" s="5">
        <f>IF(AND(C391="",D391=""),"",C391+D391)</f>
        <v/>
      </c>
      <c r="F391" s="25" t="n"/>
      <c r="G391" s="25" t="n"/>
      <c r="H391" s="26">
        <f>IF(OR(F391="",F391=0),"",G391/F391)</f>
        <v/>
      </c>
      <c r="I391" s="30">
        <f>IF(OR(E391="",E391=0),"",F391/E391)</f>
        <v/>
      </c>
      <c r="J391" s="5" t="n"/>
      <c r="K391" s="25" t="n"/>
      <c r="L391" s="5" t="n"/>
    </row>
    <row r="392">
      <c r="A392" s="5" t="n"/>
      <c r="B392" s="5">
        <f>IF(A392="","",TEXT(A392,"ddd"))</f>
        <v/>
      </c>
      <c r="C392" s="5" t="n"/>
      <c r="D392" s="5" t="n"/>
      <c r="E392" s="5">
        <f>IF(AND(C392="",D392=""),"",C392+D392)</f>
        <v/>
      </c>
      <c r="F392" s="25" t="n"/>
      <c r="G392" s="25" t="n"/>
      <c r="H392" s="26">
        <f>IF(OR(F392="",F392=0),"",G392/F392)</f>
        <v/>
      </c>
      <c r="I392" s="30">
        <f>IF(OR(E392="",E392=0),"",F392/E392)</f>
        <v/>
      </c>
      <c r="J392" s="5" t="n"/>
      <c r="K392" s="25" t="n"/>
      <c r="L392" s="5" t="n"/>
    </row>
    <row r="393">
      <c r="A393" s="5" t="n"/>
      <c r="B393" s="5">
        <f>IF(A393="","",TEXT(A393,"ddd"))</f>
        <v/>
      </c>
      <c r="C393" s="5" t="n"/>
      <c r="D393" s="5" t="n"/>
      <c r="E393" s="5">
        <f>IF(AND(C393="",D393=""),"",C393+D393)</f>
        <v/>
      </c>
      <c r="F393" s="25" t="n"/>
      <c r="G393" s="25" t="n"/>
      <c r="H393" s="26">
        <f>IF(OR(F393="",F393=0),"",G393/F393)</f>
        <v/>
      </c>
      <c r="I393" s="30">
        <f>IF(OR(E393="",E393=0),"",F393/E393)</f>
        <v/>
      </c>
      <c r="J393" s="5" t="n"/>
      <c r="K393" s="25" t="n"/>
      <c r="L393" s="5" t="n"/>
    </row>
    <row r="394">
      <c r="A394" s="5" t="n"/>
      <c r="B394" s="5">
        <f>IF(A394="","",TEXT(A394,"ddd"))</f>
        <v/>
      </c>
      <c r="C394" s="5" t="n"/>
      <c r="D394" s="5" t="n"/>
      <c r="E394" s="5">
        <f>IF(AND(C394="",D394=""),"",C394+D394)</f>
        <v/>
      </c>
      <c r="F394" s="25" t="n"/>
      <c r="G394" s="25" t="n"/>
      <c r="H394" s="26">
        <f>IF(OR(F394="",F394=0),"",G394/F394)</f>
        <v/>
      </c>
      <c r="I394" s="30">
        <f>IF(OR(E394="",E394=0),"",F394/E394)</f>
        <v/>
      </c>
      <c r="J394" s="5" t="n"/>
      <c r="K394" s="25" t="n"/>
      <c r="L394" s="5" t="n"/>
    </row>
    <row r="395">
      <c r="A395" s="5" t="n"/>
      <c r="B395" s="5">
        <f>IF(A395="","",TEXT(A395,"ddd"))</f>
        <v/>
      </c>
      <c r="C395" s="5" t="n"/>
      <c r="D395" s="5" t="n"/>
      <c r="E395" s="5">
        <f>IF(AND(C395="",D395=""),"",C395+D395)</f>
        <v/>
      </c>
      <c r="F395" s="25" t="n"/>
      <c r="G395" s="25" t="n"/>
      <c r="H395" s="26">
        <f>IF(OR(F395="",F395=0),"",G395/F395)</f>
        <v/>
      </c>
      <c r="I395" s="30">
        <f>IF(OR(E395="",E395=0),"",F395/E395)</f>
        <v/>
      </c>
      <c r="J395" s="5" t="n"/>
      <c r="K395" s="25" t="n"/>
      <c r="L395" s="5" t="n"/>
    </row>
    <row r="396">
      <c r="A396" s="5" t="n"/>
      <c r="B396" s="5">
        <f>IF(A396="","",TEXT(A396,"ddd"))</f>
        <v/>
      </c>
      <c r="C396" s="5" t="n"/>
      <c r="D396" s="5" t="n"/>
      <c r="E396" s="5">
        <f>IF(AND(C396="",D396=""),"",C396+D396)</f>
        <v/>
      </c>
      <c r="F396" s="25" t="n"/>
      <c r="G396" s="25" t="n"/>
      <c r="H396" s="26">
        <f>IF(OR(F396="",F396=0),"",G396/F396)</f>
        <v/>
      </c>
      <c r="I396" s="30">
        <f>IF(OR(E396="",E396=0),"",F396/E396)</f>
        <v/>
      </c>
      <c r="J396" s="5" t="n"/>
      <c r="K396" s="25" t="n"/>
      <c r="L396" s="5" t="n"/>
    </row>
    <row r="397">
      <c r="A397" s="5" t="n"/>
      <c r="B397" s="5">
        <f>IF(A397="","",TEXT(A397,"ddd"))</f>
        <v/>
      </c>
      <c r="C397" s="5" t="n"/>
      <c r="D397" s="5" t="n"/>
      <c r="E397" s="5">
        <f>IF(AND(C397="",D397=""),"",C397+D397)</f>
        <v/>
      </c>
      <c r="F397" s="25" t="n"/>
      <c r="G397" s="25" t="n"/>
      <c r="H397" s="26">
        <f>IF(OR(F397="",F397=0),"",G397/F397)</f>
        <v/>
      </c>
      <c r="I397" s="30">
        <f>IF(OR(E397="",E397=0),"",F397/E397)</f>
        <v/>
      </c>
      <c r="J397" s="5" t="n"/>
      <c r="K397" s="25" t="n"/>
      <c r="L397" s="5" t="n"/>
    </row>
    <row r="398">
      <c r="A398" s="5" t="n"/>
      <c r="B398" s="5">
        <f>IF(A398="","",TEXT(A398,"ddd"))</f>
        <v/>
      </c>
      <c r="C398" s="5" t="n"/>
      <c r="D398" s="5" t="n"/>
      <c r="E398" s="5">
        <f>IF(AND(C398="",D398=""),"",C398+D398)</f>
        <v/>
      </c>
      <c r="F398" s="25" t="n"/>
      <c r="G398" s="25" t="n"/>
      <c r="H398" s="26">
        <f>IF(OR(F398="",F398=0),"",G398/F398)</f>
        <v/>
      </c>
      <c r="I398" s="30">
        <f>IF(OR(E398="",E398=0),"",F398/E398)</f>
        <v/>
      </c>
      <c r="J398" s="5" t="n"/>
      <c r="K398" s="25" t="n"/>
      <c r="L398" s="5" t="n"/>
    </row>
    <row r="399">
      <c r="A399" s="5" t="n"/>
      <c r="B399" s="5">
        <f>IF(A399="","",TEXT(A399,"ddd"))</f>
        <v/>
      </c>
      <c r="C399" s="5" t="n"/>
      <c r="D399" s="5" t="n"/>
      <c r="E399" s="5">
        <f>IF(AND(C399="",D399=""),"",C399+D399)</f>
        <v/>
      </c>
      <c r="F399" s="25" t="n"/>
      <c r="G399" s="25" t="n"/>
      <c r="H399" s="26">
        <f>IF(OR(F399="",F399=0),"",G399/F399)</f>
        <v/>
      </c>
      <c r="I399" s="30">
        <f>IF(OR(E399="",E399=0),"",F399/E399)</f>
        <v/>
      </c>
      <c r="J399" s="5" t="n"/>
      <c r="K399" s="25" t="n"/>
      <c r="L399" s="5" t="n"/>
    </row>
    <row r="400">
      <c r="A400" s="5" t="n"/>
      <c r="B400" s="5">
        <f>IF(A400="","",TEXT(A400,"ddd"))</f>
        <v/>
      </c>
      <c r="C400" s="5" t="n"/>
      <c r="D400" s="5" t="n"/>
      <c r="E400" s="5">
        <f>IF(AND(C400="",D400=""),"",C400+D400)</f>
        <v/>
      </c>
      <c r="F400" s="25" t="n"/>
      <c r="G400" s="25" t="n"/>
      <c r="H400" s="26">
        <f>IF(OR(F400="",F400=0),"",G400/F400)</f>
        <v/>
      </c>
      <c r="I400" s="30">
        <f>IF(OR(E400="",E400=0),"",F400/E400)</f>
        <v/>
      </c>
      <c r="J400" s="5" t="n"/>
      <c r="K400" s="25" t="n"/>
      <c r="L400" s="5" t="n"/>
    </row>
    <row r="401">
      <c r="A401" s="5" t="n"/>
      <c r="B401" s="5">
        <f>IF(A401="","",TEXT(A401,"ddd"))</f>
        <v/>
      </c>
      <c r="C401" s="5" t="n"/>
      <c r="D401" s="5" t="n"/>
      <c r="E401" s="5">
        <f>IF(AND(C401="",D401=""),"",C401+D401)</f>
        <v/>
      </c>
      <c r="F401" s="25" t="n"/>
      <c r="G401" s="25" t="n"/>
      <c r="H401" s="26">
        <f>IF(OR(F401="",F401=0),"",G401/F401)</f>
        <v/>
      </c>
      <c r="I401" s="30">
        <f>IF(OR(E401="",E401=0),"",F401/E401)</f>
        <v/>
      </c>
      <c r="J401" s="5" t="n"/>
      <c r="K401" s="25" t="n"/>
      <c r="L401" s="5" t="n"/>
    </row>
  </sheetData>
  <conditionalFormatting sqref="H2:H401">
    <cfRule type="cellIs" priority="1" operator="greaterThan" dxfId="1">
      <formula>Assumptions!$C$7</formula>
    </cfRule>
  </conditionalFormatting>
  <dataValidations count="1">
    <dataValidation sqref="J2:J401" showDropDown="0" showInputMessage="0" showErrorMessage="0" allowBlank="1" type="list">
      <formula1>"None,Combo,Weekday,Influencer"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0" customWidth="1" min="5" max="5"/>
    <col width="13" customWidth="1" min="6" max="6"/>
    <col width="14" customWidth="1" min="7" max="7"/>
  </cols>
  <sheetData>
    <row r="1" ht="26" customHeight="1">
      <c r="A1" s="29" t="inlineStr">
        <is>
          <t>Item</t>
        </is>
      </c>
      <c r="B1" s="29" t="inlineStr">
        <is>
          <t>Category</t>
        </is>
      </c>
      <c r="C1" s="29" t="inlineStr">
        <is>
          <t>Selling Price (₹)</t>
        </is>
      </c>
      <c r="D1" s="29" t="inlineStr">
        <is>
          <t>Food Cost (₹)</t>
        </is>
      </c>
      <c r="E1" s="29" t="inlineStr">
        <is>
          <t>Qty Sold</t>
        </is>
      </c>
      <c r="F1" s="29" t="inlineStr">
        <is>
          <t>Revenue (₹)</t>
        </is>
      </c>
      <c r="G1" s="29" t="inlineStr">
        <is>
          <t>Gross Margin %</t>
        </is>
      </c>
    </row>
    <row r="2">
      <c r="A2" s="5" t="inlineStr">
        <is>
          <t>Steamed Chicken Momos (8pc)</t>
        </is>
      </c>
      <c r="B2" s="5" t="inlineStr">
        <is>
          <t>Momos</t>
        </is>
      </c>
      <c r="C2" s="25" t="n">
        <v>220</v>
      </c>
      <c r="D2" s="25" t="n">
        <v>71</v>
      </c>
      <c r="E2" s="5" t="n"/>
      <c r="F2" s="25">
        <f>IF(OR(C2="",E2=""),"",C2*E2)</f>
        <v/>
      </c>
      <c r="G2" s="26">
        <f>IF(OR(C2="",C2=0),"",(C2-D2)/C2)</f>
        <v/>
      </c>
    </row>
    <row r="3">
      <c r="A3" s="5" t="inlineStr">
        <is>
          <t>Steamed Veg Momos (8pc)</t>
        </is>
      </c>
      <c r="B3" s="5" t="inlineStr">
        <is>
          <t>Momos</t>
        </is>
      </c>
      <c r="C3" s="25" t="n">
        <v>180</v>
      </c>
      <c r="D3" s="25" t="n">
        <v>50</v>
      </c>
      <c r="E3" s="5" t="n"/>
      <c r="F3" s="25">
        <f>IF(OR(C3="",E3=""),"",C3*E3)</f>
        <v/>
      </c>
      <c r="G3" s="26">
        <f>IF(OR(C3="",C3=0),"",(C3-D3)/C3)</f>
        <v/>
      </c>
    </row>
    <row r="4">
      <c r="A4" s="5" t="inlineStr">
        <is>
          <t>Pan-fried Chicken Momos (8pc)</t>
        </is>
      </c>
      <c r="B4" s="5" t="inlineStr">
        <is>
          <t>Momos</t>
        </is>
      </c>
      <c r="C4" s="25" t="n">
        <v>240</v>
      </c>
      <c r="D4" s="25" t="n">
        <v>80</v>
      </c>
      <c r="E4" s="5" t="n"/>
      <c r="F4" s="25">
        <f>IF(OR(C4="",E4=""),"",C4*E4)</f>
        <v/>
      </c>
      <c r="G4" s="26">
        <f>IF(OR(C4="",C4=0),"",(C4-D4)/C4)</f>
        <v/>
      </c>
    </row>
    <row r="5">
      <c r="A5" s="5" t="inlineStr">
        <is>
          <t>Chicken Thukpa</t>
        </is>
      </c>
      <c r="B5" s="5" t="inlineStr">
        <is>
          <t>Soup</t>
        </is>
      </c>
      <c r="C5" s="25" t="n">
        <v>210</v>
      </c>
      <c r="D5" s="25" t="n">
        <v>65</v>
      </c>
      <c r="E5" s="5" t="n"/>
      <c r="F5" s="25">
        <f>IF(OR(C5="",E5=""),"",C5*E5)</f>
        <v/>
      </c>
      <c r="G5" s="26">
        <f>IF(OR(C5="",C5=0),"",(C5-D5)/C5)</f>
        <v/>
      </c>
    </row>
    <row r="6">
      <c r="A6" s="5" t="inlineStr">
        <is>
          <t>Veg Thukpa</t>
        </is>
      </c>
      <c r="B6" s="5" t="inlineStr">
        <is>
          <t>Soup</t>
        </is>
      </c>
      <c r="C6" s="25" t="n">
        <v>180</v>
      </c>
      <c r="D6" s="25" t="n">
        <v>48</v>
      </c>
      <c r="E6" s="5" t="n"/>
      <c r="F6" s="25">
        <f>IF(OR(C6="",E6=""),"",C6*E6)</f>
        <v/>
      </c>
      <c r="G6" s="26">
        <f>IF(OR(C6="",C6=0),"",(C6-D6)/C6)</f>
        <v/>
      </c>
    </row>
    <row r="7">
      <c r="A7" s="5" t="inlineStr">
        <is>
          <t>Veg Manchow Soup</t>
        </is>
      </c>
      <c r="B7" s="5" t="inlineStr">
        <is>
          <t>Soup</t>
        </is>
      </c>
      <c r="C7" s="25" t="n">
        <v>160</v>
      </c>
      <c r="D7" s="25" t="n">
        <v>42</v>
      </c>
      <c r="E7" s="5" t="n"/>
      <c r="F7" s="25">
        <f>IF(OR(C7="",E7=""),"",C7*E7)</f>
        <v/>
      </c>
      <c r="G7" s="26">
        <f>IF(OR(C7="",C7=0),"",(C7-D7)/C7)</f>
        <v/>
      </c>
    </row>
    <row r="8">
      <c r="A8" s="5" t="inlineStr">
        <is>
          <t>Chicken Hot &amp; Sour Soup</t>
        </is>
      </c>
      <c r="B8" s="5" t="inlineStr">
        <is>
          <t>Soup</t>
        </is>
      </c>
      <c r="C8" s="25" t="n">
        <v>180</v>
      </c>
      <c r="D8" s="25" t="n">
        <v>52</v>
      </c>
      <c r="E8" s="5" t="n"/>
      <c r="F8" s="25">
        <f>IF(OR(C8="",E8=""),"",C8*E8)</f>
        <v/>
      </c>
      <c r="G8" s="26">
        <f>IF(OR(C8="",C8=0),"",(C8-D8)/C8)</f>
        <v/>
      </c>
    </row>
    <row r="9">
      <c r="A9" s="5" t="inlineStr">
        <is>
          <t>Hakka Noodles (Chicken)</t>
        </is>
      </c>
      <c r="B9" s="5" t="inlineStr">
        <is>
          <t>Noodles</t>
        </is>
      </c>
      <c r="C9" s="25" t="n">
        <v>240</v>
      </c>
      <c r="D9" s="25" t="n">
        <v>72</v>
      </c>
      <c r="E9" s="5" t="n"/>
      <c r="F9" s="25">
        <f>IF(OR(C9="",E9=""),"",C9*E9)</f>
        <v/>
      </c>
      <c r="G9" s="26">
        <f>IF(OR(C9="",C9=0),"",(C9-D9)/C9)</f>
        <v/>
      </c>
    </row>
    <row r="10">
      <c r="A10" s="5" t="inlineStr">
        <is>
          <t>Hakka Noodles (Veg)</t>
        </is>
      </c>
      <c r="B10" s="5" t="inlineStr">
        <is>
          <t>Noodles</t>
        </is>
      </c>
      <c r="C10" s="25" t="n">
        <v>200</v>
      </c>
      <c r="D10" s="25" t="n">
        <v>52</v>
      </c>
      <c r="E10" s="5" t="n"/>
      <c r="F10" s="25">
        <f>IF(OR(C10="",E10=""),"",C10*E10)</f>
        <v/>
      </c>
      <c r="G10" s="26">
        <f>IF(OR(C10="",C10=0),"",(C10-D10)/C10)</f>
        <v/>
      </c>
    </row>
    <row r="11">
      <c r="A11" s="5" t="inlineStr">
        <is>
          <t>Schezwan Noodles (Chicken)</t>
        </is>
      </c>
      <c r="B11" s="5" t="inlineStr">
        <is>
          <t>Noodles</t>
        </is>
      </c>
      <c r="C11" s="25" t="n">
        <v>250</v>
      </c>
      <c r="D11" s="25" t="n">
        <v>78</v>
      </c>
      <c r="E11" s="5" t="n"/>
      <c r="F11" s="25">
        <f>IF(OR(C11="",E11=""),"",C11*E11)</f>
        <v/>
      </c>
      <c r="G11" s="26">
        <f>IF(OR(C11="",C11=0),"",(C11-D11)/C11)</f>
        <v/>
      </c>
    </row>
    <row r="12">
      <c r="A12" s="5" t="inlineStr">
        <is>
          <t>Chilli Chicken (Dry)</t>
        </is>
      </c>
      <c r="B12" s="5" t="inlineStr">
        <is>
          <t>Rice</t>
        </is>
      </c>
      <c r="C12" s="25" t="n">
        <v>280</v>
      </c>
      <c r="D12" s="25" t="n">
        <v>98</v>
      </c>
      <c r="E12" s="5" t="n"/>
      <c r="F12" s="25">
        <f>IF(OR(C12="",E12=""),"",C12*E12)</f>
        <v/>
      </c>
      <c r="G12" s="26">
        <f>IF(OR(C12="",C12=0),"",(C12-D12)/C12)</f>
        <v/>
      </c>
    </row>
    <row r="13">
      <c r="A13" s="5" t="inlineStr">
        <is>
          <t>Chilli Paneer</t>
        </is>
      </c>
      <c r="B13" s="5" t="inlineStr">
        <is>
          <t>Rice</t>
        </is>
      </c>
      <c r="C13" s="25" t="n">
        <v>250</v>
      </c>
      <c r="D13" s="25" t="n">
        <v>80</v>
      </c>
      <c r="E13" s="5" t="n"/>
      <c r="F13" s="25">
        <f>IF(OR(C13="",E13=""),"",C13*E13)</f>
        <v/>
      </c>
      <c r="G13" s="26">
        <f>IF(OR(C13="",C13=0),"",(C13-D13)/C13)</f>
        <v/>
      </c>
    </row>
    <row r="14">
      <c r="A14" s="5" t="inlineStr">
        <is>
          <t>Schezwan Fried Rice (Chicken)</t>
        </is>
      </c>
      <c r="B14" s="5" t="inlineStr">
        <is>
          <t>Rice</t>
        </is>
      </c>
      <c r="C14" s="25" t="n">
        <v>240</v>
      </c>
      <c r="D14" s="25" t="n">
        <v>75</v>
      </c>
      <c r="E14" s="5" t="n"/>
      <c r="F14" s="25">
        <f>IF(OR(C14="",E14=""),"",C14*E14)</f>
        <v/>
      </c>
      <c r="G14" s="26">
        <f>IF(OR(C14="",C14=0),"",(C14-D14)/C14)</f>
        <v/>
      </c>
    </row>
    <row r="15">
      <c r="A15" s="5" t="inlineStr">
        <is>
          <t>Schezwan Fried Rice (Veg)</t>
        </is>
      </c>
      <c r="B15" s="5" t="inlineStr">
        <is>
          <t>Rice</t>
        </is>
      </c>
      <c r="C15" s="25" t="n">
        <v>200</v>
      </c>
      <c r="D15" s="25" t="n">
        <v>54</v>
      </c>
      <c r="E15" s="5" t="n"/>
      <c r="F15" s="25">
        <f>IF(OR(C15="",E15=""),"",C15*E15)</f>
        <v/>
      </c>
      <c r="G15" s="26">
        <f>IF(OR(C15="",C15=0),"",(C15-D15)/C15)</f>
        <v/>
      </c>
    </row>
    <row r="16">
      <c r="A16" s="5" t="inlineStr">
        <is>
          <t>Chicken Manchurian</t>
        </is>
      </c>
      <c r="B16" s="5" t="inlineStr">
        <is>
          <t>Rice</t>
        </is>
      </c>
      <c r="C16" s="25" t="n">
        <v>260</v>
      </c>
      <c r="D16" s="25" t="n">
        <v>88</v>
      </c>
      <c r="E16" s="5" t="n"/>
      <c r="F16" s="25">
        <f>IF(OR(C16="",E16=""),"",C16*E16)</f>
        <v/>
      </c>
      <c r="G16" s="26">
        <f>IF(OR(C16="",C16=0),"",(C16-D16)/C16)</f>
        <v/>
      </c>
    </row>
    <row r="17">
      <c r="A17" s="5" t="inlineStr">
        <is>
          <t>Kimchi Fried Rice</t>
        </is>
      </c>
      <c r="B17" s="5" t="inlineStr">
        <is>
          <t>Korean</t>
        </is>
      </c>
      <c r="C17" s="25" t="n">
        <v>280</v>
      </c>
      <c r="D17" s="25" t="n">
        <v>85</v>
      </c>
      <c r="E17" s="5" t="n"/>
      <c r="F17" s="25">
        <f>IF(OR(C17="",E17=""),"",C17*E17)</f>
        <v/>
      </c>
      <c r="G17" s="26">
        <f>IF(OR(C17="",C17=0),"",(C17-D17)/C17)</f>
        <v/>
      </c>
    </row>
    <row r="18">
      <c r="A18" s="5" t="inlineStr">
        <is>
          <t>Korean Fried Chicken Wings (6pc)</t>
        </is>
      </c>
      <c r="B18" s="5" t="inlineStr">
        <is>
          <t>Korean</t>
        </is>
      </c>
      <c r="C18" s="25" t="n">
        <v>320</v>
      </c>
      <c r="D18" s="25" t="n">
        <v>112</v>
      </c>
      <c r="E18" s="5" t="n"/>
      <c r="F18" s="25">
        <f>IF(OR(C18="",E18=""),"",C18*E18)</f>
        <v/>
      </c>
      <c r="G18" s="26">
        <f>IF(OR(C18="",C18=0),"",(C18-D18)/C18)</f>
        <v/>
      </c>
    </row>
    <row r="19">
      <c r="A19" s="5" t="inlineStr">
        <is>
          <t>Iced Lemon Tea</t>
        </is>
      </c>
      <c r="B19" s="5" t="inlineStr">
        <is>
          <t>Beverages</t>
        </is>
      </c>
      <c r="C19" s="25" t="n">
        <v>120</v>
      </c>
      <c r="D19" s="25" t="n">
        <v>18</v>
      </c>
      <c r="E19" s="5" t="n"/>
      <c r="F19" s="25">
        <f>IF(OR(C19="",E19=""),"",C19*E19)</f>
        <v/>
      </c>
      <c r="G19" s="26">
        <f>IF(OR(C19="",C19=0),"",(C19-D19)/C19)</f>
        <v/>
      </c>
    </row>
    <row r="20">
      <c r="A20" s="5" t="inlineStr">
        <is>
          <t>Chrysanthemum Tea</t>
        </is>
      </c>
      <c r="B20" s="5" t="inlineStr">
        <is>
          <t>Beverages</t>
        </is>
      </c>
      <c r="C20" s="25" t="n">
        <v>130</v>
      </c>
      <c r="D20" s="25" t="n">
        <v>20</v>
      </c>
      <c r="E20" s="5" t="n"/>
      <c r="F20" s="25">
        <f>IF(OR(C20="",E20=""),"",C20*E20)</f>
        <v/>
      </c>
      <c r="G20" s="26">
        <f>IF(OR(C20="",C20=0),"",(C20-D20)/C20)</f>
        <v/>
      </c>
    </row>
    <row r="21">
      <c r="A21" s="5" t="inlineStr">
        <is>
          <t>Fresh Lime Soda</t>
        </is>
      </c>
      <c r="B21" s="5" t="inlineStr">
        <is>
          <t>Beverages</t>
        </is>
      </c>
      <c r="C21" s="25" t="n">
        <v>100</v>
      </c>
      <c r="D21" s="25" t="n">
        <v>12</v>
      </c>
      <c r="E21" s="5" t="n"/>
      <c r="F21" s="25">
        <f>IF(OR(C21="",E21=""),"",C21*E21)</f>
        <v/>
      </c>
      <c r="G21" s="26">
        <f>IF(OR(C21="",C21=0),"",(C21-D21)/C21)</f>
        <v/>
      </c>
    </row>
    <row r="22">
      <c r="A22" s="5" t="n"/>
      <c r="B22" s="5" t="n"/>
      <c r="C22" s="25" t="n"/>
      <c r="D22" s="25" t="n"/>
      <c r="E22" s="5" t="n"/>
      <c r="F22" s="25">
        <f>IF(OR(C22="",E22=""),"",C22*E22)</f>
        <v/>
      </c>
      <c r="G22" s="26">
        <f>IF(OR(C22="",C22=0),"",(C22-D22)/C22)</f>
        <v/>
      </c>
    </row>
    <row r="23">
      <c r="A23" s="5" t="n"/>
      <c r="B23" s="5" t="n"/>
      <c r="C23" s="25" t="n"/>
      <c r="D23" s="25" t="n"/>
      <c r="E23" s="5" t="n"/>
      <c r="F23" s="25">
        <f>IF(OR(C23="",E23=""),"",C23*E23)</f>
        <v/>
      </c>
      <c r="G23" s="26">
        <f>IF(OR(C23="",C23=0),"",(C23-D23)/C23)</f>
        <v/>
      </c>
    </row>
    <row r="24">
      <c r="A24" s="5" t="n"/>
      <c r="B24" s="5" t="n"/>
      <c r="C24" s="25" t="n"/>
      <c r="D24" s="25" t="n"/>
      <c r="E24" s="5" t="n"/>
      <c r="F24" s="25">
        <f>IF(OR(C24="",E24=""),"",C24*E24)</f>
        <v/>
      </c>
      <c r="G24" s="26">
        <f>IF(OR(C24="",C24=0),"",(C24-D24)/C24)</f>
        <v/>
      </c>
    </row>
    <row r="25">
      <c r="A25" s="5" t="n"/>
      <c r="B25" s="5" t="n"/>
      <c r="C25" s="25" t="n"/>
      <c r="D25" s="25" t="n"/>
      <c r="E25" s="5" t="n"/>
      <c r="F25" s="25">
        <f>IF(OR(C25="",E25=""),"",C25*E25)</f>
        <v/>
      </c>
      <c r="G25" s="26">
        <f>IF(OR(C25="",C25=0),"",(C25-D25)/C25)</f>
        <v/>
      </c>
    </row>
    <row r="26">
      <c r="A26" s="5" t="n"/>
      <c r="B26" s="5" t="n"/>
      <c r="C26" s="25" t="n"/>
      <c r="D26" s="25" t="n"/>
      <c r="E26" s="5" t="n"/>
      <c r="F26" s="25">
        <f>IF(OR(C26="",E26=""),"",C26*E26)</f>
        <v/>
      </c>
      <c r="G26" s="26">
        <f>IF(OR(C26="",C26=0),"",(C26-D26)/C26)</f>
        <v/>
      </c>
    </row>
    <row r="27">
      <c r="A27" s="5" t="n"/>
      <c r="B27" s="5" t="n"/>
      <c r="C27" s="25" t="n"/>
      <c r="D27" s="25" t="n"/>
      <c r="E27" s="5" t="n"/>
      <c r="F27" s="25">
        <f>IF(OR(C27="",E27=""),"",C27*E27)</f>
        <v/>
      </c>
      <c r="G27" s="26">
        <f>IF(OR(C27="",C27=0),"",(C27-D27)/C27)</f>
        <v/>
      </c>
    </row>
    <row r="28">
      <c r="A28" s="5" t="n"/>
      <c r="B28" s="5" t="n"/>
      <c r="C28" s="25" t="n"/>
      <c r="D28" s="25" t="n"/>
      <c r="E28" s="5" t="n"/>
      <c r="F28" s="25">
        <f>IF(OR(C28="",E28=""),"",C28*E28)</f>
        <v/>
      </c>
      <c r="G28" s="26">
        <f>IF(OR(C28="",C28=0),"",(C28-D28)/C28)</f>
        <v/>
      </c>
    </row>
    <row r="29">
      <c r="A29" s="5" t="n"/>
      <c r="B29" s="5" t="n"/>
      <c r="C29" s="25" t="n"/>
      <c r="D29" s="25" t="n"/>
      <c r="E29" s="5" t="n"/>
      <c r="F29" s="25">
        <f>IF(OR(C29="",E29=""),"",C29*E29)</f>
        <v/>
      </c>
      <c r="G29" s="26">
        <f>IF(OR(C29="",C29=0),"",(C29-D29)/C29)</f>
        <v/>
      </c>
    </row>
    <row r="30">
      <c r="A30" s="5" t="n"/>
      <c r="B30" s="5" t="n"/>
      <c r="C30" s="25" t="n"/>
      <c r="D30" s="25" t="n"/>
      <c r="E30" s="5" t="n"/>
      <c r="F30" s="25">
        <f>IF(OR(C30="",E30=""),"",C30*E30)</f>
        <v/>
      </c>
      <c r="G30" s="26">
        <f>IF(OR(C30="",C30=0),"",(C30-D30)/C30)</f>
        <v/>
      </c>
    </row>
    <row r="31">
      <c r="A31" s="5" t="n"/>
      <c r="B31" s="5" t="n"/>
      <c r="C31" s="25" t="n"/>
      <c r="D31" s="25" t="n"/>
      <c r="E31" s="5" t="n"/>
      <c r="F31" s="25">
        <f>IF(OR(C31="",E31=""),"",C31*E31)</f>
        <v/>
      </c>
      <c r="G31" s="26">
        <f>IF(OR(C31="",C31=0),"",(C31-D31)/C31)</f>
        <v/>
      </c>
    </row>
    <row r="32">
      <c r="A32" s="5" t="n"/>
      <c r="B32" s="5" t="n"/>
      <c r="C32" s="25" t="n"/>
      <c r="D32" s="25" t="n"/>
      <c r="E32" s="5" t="n"/>
      <c r="F32" s="25">
        <f>IF(OR(C32="",E32=""),"",C32*E32)</f>
        <v/>
      </c>
      <c r="G32" s="26">
        <f>IF(OR(C32="",C32=0),"",(C32-D32)/C32)</f>
        <v/>
      </c>
    </row>
    <row r="33">
      <c r="A33" s="5" t="n"/>
      <c r="B33" s="5" t="n"/>
      <c r="C33" s="25" t="n"/>
      <c r="D33" s="25" t="n"/>
      <c r="E33" s="5" t="n"/>
      <c r="F33" s="25">
        <f>IF(OR(C33="",E33=""),"",C33*E33)</f>
        <v/>
      </c>
      <c r="G33" s="26">
        <f>IF(OR(C33="",C33=0),"",(C33-D33)/C33)</f>
        <v/>
      </c>
    </row>
    <row r="34">
      <c r="A34" s="5" t="n"/>
      <c r="B34" s="5" t="n"/>
      <c r="C34" s="25" t="n"/>
      <c r="D34" s="25" t="n"/>
      <c r="E34" s="5" t="n"/>
      <c r="F34" s="25">
        <f>IF(OR(C34="",E34=""),"",C34*E34)</f>
        <v/>
      </c>
      <c r="G34" s="26">
        <f>IF(OR(C34="",C34=0),"",(C34-D34)/C34)</f>
        <v/>
      </c>
    </row>
    <row r="35">
      <c r="A35" s="5" t="n"/>
      <c r="B35" s="5" t="n"/>
      <c r="C35" s="25" t="n"/>
      <c r="D35" s="25" t="n"/>
      <c r="E35" s="5" t="n"/>
      <c r="F35" s="25">
        <f>IF(OR(C35="",E35=""),"",C35*E35)</f>
        <v/>
      </c>
      <c r="G35" s="26">
        <f>IF(OR(C35="",C35=0),"",(C35-D35)/C35)</f>
        <v/>
      </c>
    </row>
    <row r="36">
      <c r="A36" s="5" t="n"/>
      <c r="B36" s="5" t="n"/>
      <c r="C36" s="25" t="n"/>
      <c r="D36" s="25" t="n"/>
      <c r="E36" s="5" t="n"/>
      <c r="F36" s="25">
        <f>IF(OR(C36="",E36=""),"",C36*E36)</f>
        <v/>
      </c>
      <c r="G36" s="26">
        <f>IF(OR(C36="",C36=0),"",(C36-D36)/C36)</f>
        <v/>
      </c>
    </row>
    <row r="37">
      <c r="A37" s="5" t="n"/>
      <c r="B37" s="5" t="n"/>
      <c r="C37" s="25" t="n"/>
      <c r="D37" s="25" t="n"/>
      <c r="E37" s="5" t="n"/>
      <c r="F37" s="25">
        <f>IF(OR(C37="",E37=""),"",C37*E37)</f>
        <v/>
      </c>
      <c r="G37" s="26">
        <f>IF(OR(C37="",C37=0),"",(C37-D37)/C37)</f>
        <v/>
      </c>
    </row>
    <row r="38">
      <c r="A38" s="5" t="n"/>
      <c r="B38" s="5" t="n"/>
      <c r="C38" s="25" t="n"/>
      <c r="D38" s="25" t="n"/>
      <c r="E38" s="5" t="n"/>
      <c r="F38" s="25">
        <f>IF(OR(C38="",E38=""),"",C38*E38)</f>
        <v/>
      </c>
      <c r="G38" s="26">
        <f>IF(OR(C38="",C38=0),"",(C38-D38)/C38)</f>
        <v/>
      </c>
    </row>
    <row r="39">
      <c r="A39" s="5" t="n"/>
      <c r="B39" s="5" t="n"/>
      <c r="C39" s="25" t="n"/>
      <c r="D39" s="25" t="n"/>
      <c r="E39" s="5" t="n"/>
      <c r="F39" s="25">
        <f>IF(OR(C39="",E39=""),"",C39*E39)</f>
        <v/>
      </c>
      <c r="G39" s="26">
        <f>IF(OR(C39="",C39=0),"",(C39-D39)/C39)</f>
        <v/>
      </c>
    </row>
    <row r="40">
      <c r="A40" s="5" t="n"/>
      <c r="B40" s="5" t="n"/>
      <c r="C40" s="25" t="n"/>
      <c r="D40" s="25" t="n"/>
      <c r="E40" s="5" t="n"/>
      <c r="F40" s="25">
        <f>IF(OR(C40="",E40=""),"",C40*E40)</f>
        <v/>
      </c>
      <c r="G40" s="26">
        <f>IF(OR(C40="",C40=0),"",(C40-D40)/C40)</f>
        <v/>
      </c>
    </row>
    <row r="41">
      <c r="A41" s="5" t="n"/>
      <c r="B41" s="5" t="n"/>
      <c r="C41" s="25" t="n"/>
      <c r="D41" s="25" t="n"/>
      <c r="E41" s="5" t="n"/>
      <c r="F41" s="25">
        <f>IF(OR(C41="",E41=""),"",C41*E41)</f>
        <v/>
      </c>
      <c r="G41" s="26">
        <f>IF(OR(C41="",C41=0),"",(C41-D41)/C41)</f>
        <v/>
      </c>
    </row>
    <row r="42">
      <c r="A42" s="5" t="n"/>
      <c r="B42" s="5" t="n"/>
      <c r="C42" s="25" t="n"/>
      <c r="D42" s="25" t="n"/>
      <c r="E42" s="5" t="n"/>
      <c r="F42" s="25">
        <f>IF(OR(C42="",E42=""),"",C42*E42)</f>
        <v/>
      </c>
      <c r="G42" s="26">
        <f>IF(OR(C42="",C42=0),"",(C42-D42)/C42)</f>
        <v/>
      </c>
    </row>
    <row r="43">
      <c r="A43" s="5" t="n"/>
      <c r="B43" s="5" t="n"/>
      <c r="C43" s="25" t="n"/>
      <c r="D43" s="25" t="n"/>
      <c r="E43" s="5" t="n"/>
      <c r="F43" s="25">
        <f>IF(OR(C43="",E43=""),"",C43*E43)</f>
        <v/>
      </c>
      <c r="G43" s="26">
        <f>IF(OR(C43="",C43=0),"",(C43-D43)/C43)</f>
        <v/>
      </c>
    </row>
    <row r="44">
      <c r="A44" s="5" t="n"/>
      <c r="B44" s="5" t="n"/>
      <c r="C44" s="25" t="n"/>
      <c r="D44" s="25" t="n"/>
      <c r="E44" s="5" t="n"/>
      <c r="F44" s="25">
        <f>IF(OR(C44="",E44=""),"",C44*E44)</f>
        <v/>
      </c>
      <c r="G44" s="26">
        <f>IF(OR(C44="",C44=0),"",(C44-D44)/C44)</f>
        <v/>
      </c>
    </row>
    <row r="45">
      <c r="A45" s="5" t="n"/>
      <c r="B45" s="5" t="n"/>
      <c r="C45" s="25" t="n"/>
      <c r="D45" s="25" t="n"/>
      <c r="E45" s="5" t="n"/>
      <c r="F45" s="25">
        <f>IF(OR(C45="",E45=""),"",C45*E45)</f>
        <v/>
      </c>
      <c r="G45" s="26">
        <f>IF(OR(C45="",C45=0),"",(C45-D45)/C45)</f>
        <v/>
      </c>
    </row>
    <row r="46">
      <c r="A46" s="5" t="n"/>
      <c r="B46" s="5" t="n"/>
      <c r="C46" s="25" t="n"/>
      <c r="D46" s="25" t="n"/>
      <c r="E46" s="5" t="n"/>
      <c r="F46" s="25">
        <f>IF(OR(C46="",E46=""),"",C46*E46)</f>
        <v/>
      </c>
      <c r="G46" s="26">
        <f>IF(OR(C46="",C46=0),"",(C46-D46)/C46)</f>
        <v/>
      </c>
    </row>
    <row r="47">
      <c r="A47" s="5" t="n"/>
      <c r="B47" s="5" t="n"/>
      <c r="C47" s="25" t="n"/>
      <c r="D47" s="25" t="n"/>
      <c r="E47" s="5" t="n"/>
      <c r="F47" s="25">
        <f>IF(OR(C47="",E47=""),"",C47*E47)</f>
        <v/>
      </c>
      <c r="G47" s="26">
        <f>IF(OR(C47="",C47=0),"",(C47-D47)/C47)</f>
        <v/>
      </c>
    </row>
    <row r="48">
      <c r="A48" s="5" t="n"/>
      <c r="B48" s="5" t="n"/>
      <c r="C48" s="25" t="n"/>
      <c r="D48" s="25" t="n"/>
      <c r="E48" s="5" t="n"/>
      <c r="F48" s="25">
        <f>IF(OR(C48="",E48=""),"",C48*E48)</f>
        <v/>
      </c>
      <c r="G48" s="26">
        <f>IF(OR(C48="",C48=0),"",(C48-D48)/C48)</f>
        <v/>
      </c>
    </row>
    <row r="49">
      <c r="A49" s="5" t="n"/>
      <c r="B49" s="5" t="n"/>
      <c r="C49" s="25" t="n"/>
      <c r="D49" s="25" t="n"/>
      <c r="E49" s="5" t="n"/>
      <c r="F49" s="25">
        <f>IF(OR(C49="",E49=""),"",C49*E49)</f>
        <v/>
      </c>
      <c r="G49" s="26">
        <f>IF(OR(C49="",C49=0),"",(C49-D49)/C49)</f>
        <v/>
      </c>
    </row>
    <row r="50">
      <c r="A50" s="5" t="n"/>
      <c r="B50" s="5" t="n"/>
      <c r="C50" s="25" t="n"/>
      <c r="D50" s="25" t="n"/>
      <c r="E50" s="5" t="n"/>
      <c r="F50" s="25">
        <f>IF(OR(C50="",E50=""),"",C50*E50)</f>
        <v/>
      </c>
      <c r="G50" s="26">
        <f>IF(OR(C50="",C50=0),"",(C50-D50)/C50)</f>
        <v/>
      </c>
    </row>
    <row r="51">
      <c r="A51" s="5" t="n"/>
      <c r="B51" s="5" t="n"/>
      <c r="C51" s="25" t="n"/>
      <c r="D51" s="25" t="n"/>
      <c r="E51" s="5" t="n"/>
      <c r="F51" s="25">
        <f>IF(OR(C51="",E51=""),"",C51*E51)</f>
        <v/>
      </c>
      <c r="G51" s="26">
        <f>IF(OR(C51="",C51=0),"",(C51-D51)/C51)</f>
        <v/>
      </c>
    </row>
    <row r="52">
      <c r="A52" s="5" t="n"/>
      <c r="B52" s="5" t="n"/>
      <c r="C52" s="25" t="n"/>
      <c r="D52" s="25" t="n"/>
      <c r="E52" s="5" t="n"/>
      <c r="F52" s="25">
        <f>IF(OR(C52="",E52=""),"",C52*E52)</f>
        <v/>
      </c>
      <c r="G52" s="26">
        <f>IF(OR(C52="",C52=0),"",(C52-D52)/C52)</f>
        <v/>
      </c>
    </row>
    <row r="53">
      <c r="A53" s="5" t="n"/>
      <c r="B53" s="5" t="n"/>
      <c r="C53" s="25" t="n"/>
      <c r="D53" s="25" t="n"/>
      <c r="E53" s="5" t="n"/>
      <c r="F53" s="25">
        <f>IF(OR(C53="",E53=""),"",C53*E53)</f>
        <v/>
      </c>
      <c r="G53" s="26">
        <f>IF(OR(C53="",C53=0),"",(C53-D53)/C53)</f>
        <v/>
      </c>
    </row>
    <row r="54">
      <c r="A54" s="5" t="n"/>
      <c r="B54" s="5" t="n"/>
      <c r="C54" s="25" t="n"/>
      <c r="D54" s="25" t="n"/>
      <c r="E54" s="5" t="n"/>
      <c r="F54" s="25">
        <f>IF(OR(C54="",E54=""),"",C54*E54)</f>
        <v/>
      </c>
      <c r="G54" s="26">
        <f>IF(OR(C54="",C54=0),"",(C54-D54)/C54)</f>
        <v/>
      </c>
    </row>
    <row r="55">
      <c r="A55" s="5" t="n"/>
      <c r="B55" s="5" t="n"/>
      <c r="C55" s="25" t="n"/>
      <c r="D55" s="25" t="n"/>
      <c r="E55" s="5" t="n"/>
      <c r="F55" s="25">
        <f>IF(OR(C55="",E55=""),"",C55*E55)</f>
        <v/>
      </c>
      <c r="G55" s="26">
        <f>IF(OR(C55="",C55=0),"",(C55-D55)/C55)</f>
        <v/>
      </c>
    </row>
    <row r="56">
      <c r="A56" s="5" t="n"/>
      <c r="B56" s="5" t="n"/>
      <c r="C56" s="25" t="n"/>
      <c r="D56" s="25" t="n"/>
      <c r="E56" s="5" t="n"/>
      <c r="F56" s="25">
        <f>IF(OR(C56="",E56=""),"",C56*E56)</f>
        <v/>
      </c>
      <c r="G56" s="26">
        <f>IF(OR(C56="",C56=0),"",(C56-D56)/C56)</f>
        <v/>
      </c>
    </row>
    <row r="57">
      <c r="A57" s="5" t="n"/>
      <c r="B57" s="5" t="n"/>
      <c r="C57" s="25" t="n"/>
      <c r="D57" s="25" t="n"/>
      <c r="E57" s="5" t="n"/>
      <c r="F57" s="25">
        <f>IF(OR(C57="",E57=""),"",C57*E57)</f>
        <v/>
      </c>
      <c r="G57" s="26">
        <f>IF(OR(C57="",C57=0),"",(C57-D57)/C57)</f>
        <v/>
      </c>
    </row>
    <row r="58">
      <c r="A58" s="5" t="n"/>
      <c r="B58" s="5" t="n"/>
      <c r="C58" s="25" t="n"/>
      <c r="D58" s="25" t="n"/>
      <c r="E58" s="5" t="n"/>
      <c r="F58" s="25">
        <f>IF(OR(C58="",E58=""),"",C58*E58)</f>
        <v/>
      </c>
      <c r="G58" s="26">
        <f>IF(OR(C58="",C58=0),"",(C58-D58)/C58)</f>
        <v/>
      </c>
    </row>
    <row r="59">
      <c r="A59" s="5" t="n"/>
      <c r="B59" s="5" t="n"/>
      <c r="C59" s="25" t="n"/>
      <c r="D59" s="25" t="n"/>
      <c r="E59" s="5" t="n"/>
      <c r="F59" s="25">
        <f>IF(OR(C59="",E59=""),"",C59*E59)</f>
        <v/>
      </c>
      <c r="G59" s="26">
        <f>IF(OR(C59="",C59=0),"",(C59-D59)/C59)</f>
        <v/>
      </c>
    </row>
    <row r="60">
      <c r="A60" s="5" t="n"/>
      <c r="B60" s="5" t="n"/>
      <c r="C60" s="25" t="n"/>
      <c r="D60" s="25" t="n"/>
      <c r="E60" s="5" t="n"/>
      <c r="F60" s="25">
        <f>IF(OR(C60="",E60=""),"",C60*E60)</f>
        <v/>
      </c>
      <c r="G60" s="26">
        <f>IF(OR(C60="",C60=0),"",(C60-D60)/C60)</f>
        <v/>
      </c>
    </row>
    <row r="61">
      <c r="A61" s="5" t="n"/>
      <c r="B61" s="5" t="n"/>
      <c r="C61" s="25" t="n"/>
      <c r="D61" s="25" t="n"/>
      <c r="E61" s="5" t="n"/>
      <c r="F61" s="25">
        <f>IF(OR(C61="",E61=""),"",C61*E61)</f>
        <v/>
      </c>
      <c r="G61" s="26">
        <f>IF(OR(C61="",C61=0),"",(C61-D61)/C61)</f>
        <v/>
      </c>
    </row>
  </sheetData>
  <conditionalFormatting sqref="G2:G61">
    <cfRule type="cellIs" priority="1" operator="lessThan" dxfId="1">
      <formula>0.6</formula>
    </cfRule>
  </conditionalFormatting>
  <dataValidations count="1">
    <dataValidation sqref="B2:B61" showDropDown="0" showInputMessage="0" showErrorMessage="0" allowBlank="1" type="list">
      <formula1>"Momos,Noodles,Rice,Soup,Korean,Beverages"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1" customWidth="1" min="5" max="5"/>
    <col width="13" customWidth="1" min="6" max="6"/>
    <col width="12" customWidth="1" min="7" max="7"/>
    <col width="12" customWidth="1" min="8" max="8"/>
    <col width="9" customWidth="1" min="9" max="9"/>
    <col width="10" customWidth="1" min="10" max="10"/>
    <col width="11" customWidth="1" min="11" max="11"/>
    <col width="15" customWidth="1" min="12" max="12"/>
    <col width="8" customWidth="1" min="13" max="13"/>
  </cols>
  <sheetData>
    <row r="1" ht="30" customHeight="1">
      <c r="A1" s="29" t="inlineStr">
        <is>
          <t>Campaign Name</t>
        </is>
      </c>
      <c r="B1" s="29" t="inlineStr">
        <is>
          <t>Type</t>
        </is>
      </c>
      <c r="C1" s="29" t="inlineStr">
        <is>
          <t>Start Date</t>
        </is>
      </c>
      <c r="D1" s="29" t="inlineStr">
        <is>
          <t>End Date</t>
        </is>
      </c>
      <c r="E1" s="29" t="inlineStr">
        <is>
          <t>Spend (₹)</t>
        </is>
      </c>
      <c r="F1" s="29" t="inlineStr">
        <is>
          <t>Free Meals Cost (₹)</t>
        </is>
      </c>
      <c r="G1" s="29" t="inlineStr">
        <is>
          <t>Total Cost (₹)</t>
        </is>
      </c>
      <c r="H1" s="29" t="inlineStr">
        <is>
          <t>Promo Code</t>
        </is>
      </c>
      <c r="I1" s="29" t="inlineStr">
        <is>
          <t>Reach</t>
        </is>
      </c>
      <c r="J1" s="29" t="inlineStr">
        <is>
          <t>Inquiries</t>
        </is>
      </c>
      <c r="K1" s="29" t="inlineStr">
        <is>
          <t>Conversions</t>
        </is>
      </c>
      <c r="L1" s="29" t="inlineStr">
        <is>
          <t>Revenue Attributed (₹)</t>
        </is>
      </c>
      <c r="M1" s="29" t="inlineStr">
        <is>
          <t>ROAS</t>
        </is>
      </c>
    </row>
    <row r="2">
      <c r="A2" s="5" t="inlineStr">
        <is>
          <t>Example: Pre-opening Tasting</t>
        </is>
      </c>
      <c r="B2" s="5" t="inlineStr">
        <is>
          <t>Influencer</t>
        </is>
      </c>
      <c r="C2" s="5" t="n"/>
      <c r="D2" s="5" t="n"/>
      <c r="E2" s="25" t="n"/>
      <c r="F2" s="25" t="n"/>
      <c r="G2" s="25">
        <f>IF(AND(E2="",F2=""),"",E2+F2)</f>
        <v/>
      </c>
      <c r="H2" s="5" t="inlineStr">
        <is>
          <t>TASTE10</t>
        </is>
      </c>
      <c r="I2" s="5" t="n"/>
      <c r="J2" s="5" t="n"/>
      <c r="K2" s="5" t="n"/>
      <c r="L2" s="25" t="n"/>
      <c r="M2" s="31">
        <f>IF(OR(G2="",G2=0),"",L2/G2)</f>
        <v/>
      </c>
    </row>
    <row r="3">
      <c r="A3" s="5" t="n"/>
      <c r="B3" s="5" t="n"/>
      <c r="C3" s="5" t="n"/>
      <c r="D3" s="5" t="n"/>
      <c r="E3" s="25" t="n"/>
      <c r="F3" s="25" t="n"/>
      <c r="G3" s="25">
        <f>IF(AND(E3="",F3=""),"",E3+F3)</f>
        <v/>
      </c>
      <c r="H3" s="5" t="n"/>
      <c r="I3" s="5" t="n"/>
      <c r="J3" s="5" t="n"/>
      <c r="K3" s="5" t="n"/>
      <c r="L3" s="25" t="n"/>
      <c r="M3" s="31">
        <f>IF(OR(G3="",G3=0),"",L3/G3)</f>
        <v/>
      </c>
    </row>
    <row r="4">
      <c r="A4" s="5" t="n"/>
      <c r="B4" s="5" t="n"/>
      <c r="C4" s="5" t="n"/>
      <c r="D4" s="5" t="n"/>
      <c r="E4" s="25" t="n"/>
      <c r="F4" s="25" t="n"/>
      <c r="G4" s="25">
        <f>IF(AND(E4="",F4=""),"",E4+F4)</f>
        <v/>
      </c>
      <c r="H4" s="5" t="n"/>
      <c r="I4" s="5" t="n"/>
      <c r="J4" s="5" t="n"/>
      <c r="K4" s="5" t="n"/>
      <c r="L4" s="25" t="n"/>
      <c r="M4" s="31">
        <f>IF(OR(G4="",G4=0),"",L4/G4)</f>
        <v/>
      </c>
    </row>
    <row r="5">
      <c r="A5" s="5" t="n"/>
      <c r="B5" s="5" t="n"/>
      <c r="C5" s="5" t="n"/>
      <c r="D5" s="5" t="n"/>
      <c r="E5" s="25" t="n"/>
      <c r="F5" s="25" t="n"/>
      <c r="G5" s="25">
        <f>IF(AND(E5="",F5=""),"",E5+F5)</f>
        <v/>
      </c>
      <c r="H5" s="5" t="n"/>
      <c r="I5" s="5" t="n"/>
      <c r="J5" s="5" t="n"/>
      <c r="K5" s="5" t="n"/>
      <c r="L5" s="25" t="n"/>
      <c r="M5" s="31">
        <f>IF(OR(G5="",G5=0),"",L5/G5)</f>
        <v/>
      </c>
    </row>
    <row r="6">
      <c r="A6" s="5" t="n"/>
      <c r="B6" s="5" t="n"/>
      <c r="C6" s="5" t="n"/>
      <c r="D6" s="5" t="n"/>
      <c r="E6" s="25" t="n"/>
      <c r="F6" s="25" t="n"/>
      <c r="G6" s="25">
        <f>IF(AND(E6="",F6=""),"",E6+F6)</f>
        <v/>
      </c>
      <c r="H6" s="5" t="n"/>
      <c r="I6" s="5" t="n"/>
      <c r="J6" s="5" t="n"/>
      <c r="K6" s="5" t="n"/>
      <c r="L6" s="25" t="n"/>
      <c r="M6" s="31">
        <f>IF(OR(G6="",G6=0),"",L6/G6)</f>
        <v/>
      </c>
    </row>
    <row r="7">
      <c r="A7" s="5" t="n"/>
      <c r="B7" s="5" t="n"/>
      <c r="C7" s="5" t="n"/>
      <c r="D7" s="5" t="n"/>
      <c r="E7" s="25" t="n"/>
      <c r="F7" s="25" t="n"/>
      <c r="G7" s="25">
        <f>IF(AND(E7="",F7=""),"",E7+F7)</f>
        <v/>
      </c>
      <c r="H7" s="5" t="n"/>
      <c r="I7" s="5" t="n"/>
      <c r="J7" s="5" t="n"/>
      <c r="K7" s="5" t="n"/>
      <c r="L7" s="25" t="n"/>
      <c r="M7" s="31">
        <f>IF(OR(G7="",G7=0),"",L7/G7)</f>
        <v/>
      </c>
    </row>
    <row r="8">
      <c r="A8" s="5" t="n"/>
      <c r="B8" s="5" t="n"/>
      <c r="C8" s="5" t="n"/>
      <c r="D8" s="5" t="n"/>
      <c r="E8" s="25" t="n"/>
      <c r="F8" s="25" t="n"/>
      <c r="G8" s="25">
        <f>IF(AND(E8="",F8=""),"",E8+F8)</f>
        <v/>
      </c>
      <c r="H8" s="5" t="n"/>
      <c r="I8" s="5" t="n"/>
      <c r="J8" s="5" t="n"/>
      <c r="K8" s="5" t="n"/>
      <c r="L8" s="25" t="n"/>
      <c r="M8" s="31">
        <f>IF(OR(G8="",G8=0),"",L8/G8)</f>
        <v/>
      </c>
    </row>
    <row r="9">
      <c r="A9" s="5" t="n"/>
      <c r="B9" s="5" t="n"/>
      <c r="C9" s="5" t="n"/>
      <c r="D9" s="5" t="n"/>
      <c r="E9" s="25" t="n"/>
      <c r="F9" s="25" t="n"/>
      <c r="G9" s="25">
        <f>IF(AND(E9="",F9=""),"",E9+F9)</f>
        <v/>
      </c>
      <c r="H9" s="5" t="n"/>
      <c r="I9" s="5" t="n"/>
      <c r="J9" s="5" t="n"/>
      <c r="K9" s="5" t="n"/>
      <c r="L9" s="25" t="n"/>
      <c r="M9" s="31">
        <f>IF(OR(G9="",G9=0),"",L9/G9)</f>
        <v/>
      </c>
    </row>
    <row r="10">
      <c r="A10" s="5" t="n"/>
      <c r="B10" s="5" t="n"/>
      <c r="C10" s="5" t="n"/>
      <c r="D10" s="5" t="n"/>
      <c r="E10" s="25" t="n"/>
      <c r="F10" s="25" t="n"/>
      <c r="G10" s="25">
        <f>IF(AND(E10="",F10=""),"",E10+F10)</f>
        <v/>
      </c>
      <c r="H10" s="5" t="n"/>
      <c r="I10" s="5" t="n"/>
      <c r="J10" s="5" t="n"/>
      <c r="K10" s="5" t="n"/>
      <c r="L10" s="25" t="n"/>
      <c r="M10" s="31">
        <f>IF(OR(G10="",G10=0),"",L10/G10)</f>
        <v/>
      </c>
    </row>
    <row r="11">
      <c r="A11" s="5" t="n"/>
      <c r="B11" s="5" t="n"/>
      <c r="C11" s="5" t="n"/>
      <c r="D11" s="5" t="n"/>
      <c r="E11" s="25" t="n"/>
      <c r="F11" s="25" t="n"/>
      <c r="G11" s="25">
        <f>IF(AND(E11="",F11=""),"",E11+F11)</f>
        <v/>
      </c>
      <c r="H11" s="5" t="n"/>
      <c r="I11" s="5" t="n"/>
      <c r="J11" s="5" t="n"/>
      <c r="K11" s="5" t="n"/>
      <c r="L11" s="25" t="n"/>
      <c r="M11" s="31">
        <f>IF(OR(G11="",G11=0),"",L11/G11)</f>
        <v/>
      </c>
    </row>
    <row r="12">
      <c r="A12" s="5" t="n"/>
      <c r="B12" s="5" t="n"/>
      <c r="C12" s="5" t="n"/>
      <c r="D12" s="5" t="n"/>
      <c r="E12" s="25" t="n"/>
      <c r="F12" s="25" t="n"/>
      <c r="G12" s="25">
        <f>IF(AND(E12="",F12=""),"",E12+F12)</f>
        <v/>
      </c>
      <c r="H12" s="5" t="n"/>
      <c r="I12" s="5" t="n"/>
      <c r="J12" s="5" t="n"/>
      <c r="K12" s="5" t="n"/>
      <c r="L12" s="25" t="n"/>
      <c r="M12" s="31">
        <f>IF(OR(G12="",G12=0),"",L12/G12)</f>
        <v/>
      </c>
    </row>
    <row r="13">
      <c r="A13" s="5" t="n"/>
      <c r="B13" s="5" t="n"/>
      <c r="C13" s="5" t="n"/>
      <c r="D13" s="5" t="n"/>
      <c r="E13" s="25" t="n"/>
      <c r="F13" s="25" t="n"/>
      <c r="G13" s="25">
        <f>IF(AND(E13="",F13=""),"",E13+F13)</f>
        <v/>
      </c>
      <c r="H13" s="5" t="n"/>
      <c r="I13" s="5" t="n"/>
      <c r="J13" s="5" t="n"/>
      <c r="K13" s="5" t="n"/>
      <c r="L13" s="25" t="n"/>
      <c r="M13" s="31">
        <f>IF(OR(G13="",G13=0),"",L13/G13)</f>
        <v/>
      </c>
    </row>
    <row r="14">
      <c r="A14" s="5" t="n"/>
      <c r="B14" s="5" t="n"/>
      <c r="C14" s="5" t="n"/>
      <c r="D14" s="5" t="n"/>
      <c r="E14" s="25" t="n"/>
      <c r="F14" s="25" t="n"/>
      <c r="G14" s="25">
        <f>IF(AND(E14="",F14=""),"",E14+F14)</f>
        <v/>
      </c>
      <c r="H14" s="5" t="n"/>
      <c r="I14" s="5" t="n"/>
      <c r="J14" s="5" t="n"/>
      <c r="K14" s="5" t="n"/>
      <c r="L14" s="25" t="n"/>
      <c r="M14" s="31">
        <f>IF(OR(G14="",G14=0),"",L14/G14)</f>
        <v/>
      </c>
    </row>
    <row r="15">
      <c r="A15" s="5" t="n"/>
      <c r="B15" s="5" t="n"/>
      <c r="C15" s="5" t="n"/>
      <c r="D15" s="5" t="n"/>
      <c r="E15" s="25" t="n"/>
      <c r="F15" s="25" t="n"/>
      <c r="G15" s="25">
        <f>IF(AND(E15="",F15=""),"",E15+F15)</f>
        <v/>
      </c>
      <c r="H15" s="5" t="n"/>
      <c r="I15" s="5" t="n"/>
      <c r="J15" s="5" t="n"/>
      <c r="K15" s="5" t="n"/>
      <c r="L15" s="25" t="n"/>
      <c r="M15" s="31">
        <f>IF(OR(G15="",G15=0),"",L15/G15)</f>
        <v/>
      </c>
    </row>
    <row r="16">
      <c r="A16" s="5" t="n"/>
      <c r="B16" s="5" t="n"/>
      <c r="C16" s="5" t="n"/>
      <c r="D16" s="5" t="n"/>
      <c r="E16" s="25" t="n"/>
      <c r="F16" s="25" t="n"/>
      <c r="G16" s="25">
        <f>IF(AND(E16="",F16=""),"",E16+F16)</f>
        <v/>
      </c>
      <c r="H16" s="5" t="n"/>
      <c r="I16" s="5" t="n"/>
      <c r="J16" s="5" t="n"/>
      <c r="K16" s="5" t="n"/>
      <c r="L16" s="25" t="n"/>
      <c r="M16" s="31">
        <f>IF(OR(G16="",G16=0),"",L16/G16)</f>
        <v/>
      </c>
    </row>
    <row r="17">
      <c r="A17" s="5" t="n"/>
      <c r="B17" s="5" t="n"/>
      <c r="C17" s="5" t="n"/>
      <c r="D17" s="5" t="n"/>
      <c r="E17" s="25" t="n"/>
      <c r="F17" s="25" t="n"/>
      <c r="G17" s="25">
        <f>IF(AND(E17="",F17=""),"",E17+F17)</f>
        <v/>
      </c>
      <c r="H17" s="5" t="n"/>
      <c r="I17" s="5" t="n"/>
      <c r="J17" s="5" t="n"/>
      <c r="K17" s="5" t="n"/>
      <c r="L17" s="25" t="n"/>
      <c r="M17" s="31">
        <f>IF(OR(G17="",G17=0),"",L17/G17)</f>
        <v/>
      </c>
    </row>
    <row r="18">
      <c r="A18" s="5" t="n"/>
      <c r="B18" s="5" t="n"/>
      <c r="C18" s="5" t="n"/>
      <c r="D18" s="5" t="n"/>
      <c r="E18" s="25" t="n"/>
      <c r="F18" s="25" t="n"/>
      <c r="G18" s="25">
        <f>IF(AND(E18="",F18=""),"",E18+F18)</f>
        <v/>
      </c>
      <c r="H18" s="5" t="n"/>
      <c r="I18" s="5" t="n"/>
      <c r="J18" s="5" t="n"/>
      <c r="K18" s="5" t="n"/>
      <c r="L18" s="25" t="n"/>
      <c r="M18" s="31">
        <f>IF(OR(G18="",G18=0),"",L18/G18)</f>
        <v/>
      </c>
    </row>
    <row r="19">
      <c r="A19" s="5" t="n"/>
      <c r="B19" s="5" t="n"/>
      <c r="C19" s="5" t="n"/>
      <c r="D19" s="5" t="n"/>
      <c r="E19" s="25" t="n"/>
      <c r="F19" s="25" t="n"/>
      <c r="G19" s="25">
        <f>IF(AND(E19="",F19=""),"",E19+F19)</f>
        <v/>
      </c>
      <c r="H19" s="5" t="n"/>
      <c r="I19" s="5" t="n"/>
      <c r="J19" s="5" t="n"/>
      <c r="K19" s="5" t="n"/>
      <c r="L19" s="25" t="n"/>
      <c r="M19" s="31">
        <f>IF(OR(G19="",G19=0),"",L19/G19)</f>
        <v/>
      </c>
    </row>
    <row r="20">
      <c r="A20" s="5" t="n"/>
      <c r="B20" s="5" t="n"/>
      <c r="C20" s="5" t="n"/>
      <c r="D20" s="5" t="n"/>
      <c r="E20" s="25" t="n"/>
      <c r="F20" s="25" t="n"/>
      <c r="G20" s="25">
        <f>IF(AND(E20="",F20=""),"",E20+F20)</f>
        <v/>
      </c>
      <c r="H20" s="5" t="n"/>
      <c r="I20" s="5" t="n"/>
      <c r="J20" s="5" t="n"/>
      <c r="K20" s="5" t="n"/>
      <c r="L20" s="25" t="n"/>
      <c r="M20" s="31">
        <f>IF(OR(G20="",G20=0),"",L20/G20)</f>
        <v/>
      </c>
    </row>
    <row r="21">
      <c r="A21" s="5" t="n"/>
      <c r="B21" s="5" t="n"/>
      <c r="C21" s="5" t="n"/>
      <c r="D21" s="5" t="n"/>
      <c r="E21" s="25" t="n"/>
      <c r="F21" s="25" t="n"/>
      <c r="G21" s="25">
        <f>IF(AND(E21="",F21=""),"",E21+F21)</f>
        <v/>
      </c>
      <c r="H21" s="5" t="n"/>
      <c r="I21" s="5" t="n"/>
      <c r="J21" s="5" t="n"/>
      <c r="K21" s="5" t="n"/>
      <c r="L21" s="25" t="n"/>
      <c r="M21" s="31">
        <f>IF(OR(G21="",G21=0),"",L21/G21)</f>
        <v/>
      </c>
    </row>
    <row r="22">
      <c r="A22" s="5" t="n"/>
      <c r="B22" s="5" t="n"/>
      <c r="C22" s="5" t="n"/>
      <c r="D22" s="5" t="n"/>
      <c r="E22" s="25" t="n"/>
      <c r="F22" s="25" t="n"/>
      <c r="G22" s="25">
        <f>IF(AND(E22="",F22=""),"",E22+F22)</f>
        <v/>
      </c>
      <c r="H22" s="5" t="n"/>
      <c r="I22" s="5" t="n"/>
      <c r="J22" s="5" t="n"/>
      <c r="K22" s="5" t="n"/>
      <c r="L22" s="25" t="n"/>
      <c r="M22" s="31">
        <f>IF(OR(G22="",G22=0),"",L22/G22)</f>
        <v/>
      </c>
    </row>
    <row r="23">
      <c r="A23" s="5" t="n"/>
      <c r="B23" s="5" t="n"/>
      <c r="C23" s="5" t="n"/>
      <c r="D23" s="5" t="n"/>
      <c r="E23" s="25" t="n"/>
      <c r="F23" s="25" t="n"/>
      <c r="G23" s="25">
        <f>IF(AND(E23="",F23=""),"",E23+F23)</f>
        <v/>
      </c>
      <c r="H23" s="5" t="n"/>
      <c r="I23" s="5" t="n"/>
      <c r="J23" s="5" t="n"/>
      <c r="K23" s="5" t="n"/>
      <c r="L23" s="25" t="n"/>
      <c r="M23" s="31">
        <f>IF(OR(G23="",G23=0),"",L23/G23)</f>
        <v/>
      </c>
    </row>
    <row r="24">
      <c r="A24" s="5" t="n"/>
      <c r="B24" s="5" t="n"/>
      <c r="C24" s="5" t="n"/>
      <c r="D24" s="5" t="n"/>
      <c r="E24" s="25" t="n"/>
      <c r="F24" s="25" t="n"/>
      <c r="G24" s="25">
        <f>IF(AND(E24="",F24=""),"",E24+F24)</f>
        <v/>
      </c>
      <c r="H24" s="5" t="n"/>
      <c r="I24" s="5" t="n"/>
      <c r="J24" s="5" t="n"/>
      <c r="K24" s="5" t="n"/>
      <c r="L24" s="25" t="n"/>
      <c r="M24" s="31">
        <f>IF(OR(G24="",G24=0),"",L24/G24)</f>
        <v/>
      </c>
    </row>
    <row r="25">
      <c r="A25" s="5" t="n"/>
      <c r="B25" s="5" t="n"/>
      <c r="C25" s="5" t="n"/>
      <c r="D25" s="5" t="n"/>
      <c r="E25" s="25" t="n"/>
      <c r="F25" s="25" t="n"/>
      <c r="G25" s="25">
        <f>IF(AND(E25="",F25=""),"",E25+F25)</f>
        <v/>
      </c>
      <c r="H25" s="5" t="n"/>
      <c r="I25" s="5" t="n"/>
      <c r="J25" s="5" t="n"/>
      <c r="K25" s="5" t="n"/>
      <c r="L25" s="25" t="n"/>
      <c r="M25" s="31">
        <f>IF(OR(G25="",G25=0),"",L25/G25)</f>
        <v/>
      </c>
    </row>
    <row r="26">
      <c r="A26" s="5" t="n"/>
      <c r="B26" s="5" t="n"/>
      <c r="C26" s="5" t="n"/>
      <c r="D26" s="5" t="n"/>
      <c r="E26" s="25" t="n"/>
      <c r="F26" s="25" t="n"/>
      <c r="G26" s="25">
        <f>IF(AND(E26="",F26=""),"",E26+F26)</f>
        <v/>
      </c>
      <c r="H26" s="5" t="n"/>
      <c r="I26" s="5" t="n"/>
      <c r="J26" s="5" t="n"/>
      <c r="K26" s="5" t="n"/>
      <c r="L26" s="25" t="n"/>
      <c r="M26" s="31">
        <f>IF(OR(G26="",G26=0),"",L26/G26)</f>
        <v/>
      </c>
    </row>
    <row r="27">
      <c r="A27" s="5" t="n"/>
      <c r="B27" s="5" t="n"/>
      <c r="C27" s="5" t="n"/>
      <c r="D27" s="5" t="n"/>
      <c r="E27" s="25" t="n"/>
      <c r="F27" s="25" t="n"/>
      <c r="G27" s="25">
        <f>IF(AND(E27="",F27=""),"",E27+F27)</f>
        <v/>
      </c>
      <c r="H27" s="5" t="n"/>
      <c r="I27" s="5" t="n"/>
      <c r="J27" s="5" t="n"/>
      <c r="K27" s="5" t="n"/>
      <c r="L27" s="25" t="n"/>
      <c r="M27" s="31">
        <f>IF(OR(G27="",G27=0),"",L27/G27)</f>
        <v/>
      </c>
    </row>
    <row r="28">
      <c r="A28" s="5" t="n"/>
      <c r="B28" s="5" t="n"/>
      <c r="C28" s="5" t="n"/>
      <c r="D28" s="5" t="n"/>
      <c r="E28" s="25" t="n"/>
      <c r="F28" s="25" t="n"/>
      <c r="G28" s="25">
        <f>IF(AND(E28="",F28=""),"",E28+F28)</f>
        <v/>
      </c>
      <c r="H28" s="5" t="n"/>
      <c r="I28" s="5" t="n"/>
      <c r="J28" s="5" t="n"/>
      <c r="K28" s="5" t="n"/>
      <c r="L28" s="25" t="n"/>
      <c r="M28" s="31">
        <f>IF(OR(G28="",G28=0),"",L28/G28)</f>
        <v/>
      </c>
    </row>
    <row r="29">
      <c r="A29" s="5" t="n"/>
      <c r="B29" s="5" t="n"/>
      <c r="C29" s="5" t="n"/>
      <c r="D29" s="5" t="n"/>
      <c r="E29" s="25" t="n"/>
      <c r="F29" s="25" t="n"/>
      <c r="G29" s="25">
        <f>IF(AND(E29="",F29=""),"",E29+F29)</f>
        <v/>
      </c>
      <c r="H29" s="5" t="n"/>
      <c r="I29" s="5" t="n"/>
      <c r="J29" s="5" t="n"/>
      <c r="K29" s="5" t="n"/>
      <c r="L29" s="25" t="n"/>
      <c r="M29" s="31">
        <f>IF(OR(G29="",G29=0),"",L29/G29)</f>
        <v/>
      </c>
    </row>
    <row r="30">
      <c r="A30" s="5" t="n"/>
      <c r="B30" s="5" t="n"/>
      <c r="C30" s="5" t="n"/>
      <c r="D30" s="5" t="n"/>
      <c r="E30" s="25" t="n"/>
      <c r="F30" s="25" t="n"/>
      <c r="G30" s="25">
        <f>IF(AND(E30="",F30=""),"",E30+F30)</f>
        <v/>
      </c>
      <c r="H30" s="5" t="n"/>
      <c r="I30" s="5" t="n"/>
      <c r="J30" s="5" t="n"/>
      <c r="K30" s="5" t="n"/>
      <c r="L30" s="25" t="n"/>
      <c r="M30" s="31">
        <f>IF(OR(G30="",G30=0),"",L30/G30)</f>
        <v/>
      </c>
    </row>
    <row r="31">
      <c r="A31" s="5" t="n"/>
      <c r="B31" s="5" t="n"/>
      <c r="C31" s="5" t="n"/>
      <c r="D31" s="5" t="n"/>
      <c r="E31" s="25" t="n"/>
      <c r="F31" s="25" t="n"/>
      <c r="G31" s="25">
        <f>IF(AND(E31="",F31=""),"",E31+F31)</f>
        <v/>
      </c>
      <c r="H31" s="5" t="n"/>
      <c r="I31" s="5" t="n"/>
      <c r="J31" s="5" t="n"/>
      <c r="K31" s="5" t="n"/>
      <c r="L31" s="25" t="n"/>
      <c r="M31" s="31">
        <f>IF(OR(G31="",G31=0),"",L31/G31)</f>
        <v/>
      </c>
    </row>
    <row r="32">
      <c r="A32" s="5" t="n"/>
      <c r="B32" s="5" t="n"/>
      <c r="C32" s="5" t="n"/>
      <c r="D32" s="5" t="n"/>
      <c r="E32" s="25" t="n"/>
      <c r="F32" s="25" t="n"/>
      <c r="G32" s="25">
        <f>IF(AND(E32="",F32=""),"",E32+F32)</f>
        <v/>
      </c>
      <c r="H32" s="5" t="n"/>
      <c r="I32" s="5" t="n"/>
      <c r="J32" s="5" t="n"/>
      <c r="K32" s="5" t="n"/>
      <c r="L32" s="25" t="n"/>
      <c r="M32" s="31">
        <f>IF(OR(G32="",G32=0),"",L32/G32)</f>
        <v/>
      </c>
    </row>
    <row r="33">
      <c r="A33" s="5" t="n"/>
      <c r="B33" s="5" t="n"/>
      <c r="C33" s="5" t="n"/>
      <c r="D33" s="5" t="n"/>
      <c r="E33" s="25" t="n"/>
      <c r="F33" s="25" t="n"/>
      <c r="G33" s="25">
        <f>IF(AND(E33="",F33=""),"",E33+F33)</f>
        <v/>
      </c>
      <c r="H33" s="5" t="n"/>
      <c r="I33" s="5" t="n"/>
      <c r="J33" s="5" t="n"/>
      <c r="K33" s="5" t="n"/>
      <c r="L33" s="25" t="n"/>
      <c r="M33" s="31">
        <f>IF(OR(G33="",G33=0),"",L33/G33)</f>
        <v/>
      </c>
    </row>
    <row r="34">
      <c r="A34" s="5" t="n"/>
      <c r="B34" s="5" t="n"/>
      <c r="C34" s="5" t="n"/>
      <c r="D34" s="5" t="n"/>
      <c r="E34" s="25" t="n"/>
      <c r="F34" s="25" t="n"/>
      <c r="G34" s="25">
        <f>IF(AND(E34="",F34=""),"",E34+F34)</f>
        <v/>
      </c>
      <c r="H34" s="5" t="n"/>
      <c r="I34" s="5" t="n"/>
      <c r="J34" s="5" t="n"/>
      <c r="K34" s="5" t="n"/>
      <c r="L34" s="25" t="n"/>
      <c r="M34" s="31">
        <f>IF(OR(G34="",G34=0),"",L34/G34)</f>
        <v/>
      </c>
    </row>
    <row r="35">
      <c r="A35" s="5" t="n"/>
      <c r="B35" s="5" t="n"/>
      <c r="C35" s="5" t="n"/>
      <c r="D35" s="5" t="n"/>
      <c r="E35" s="25" t="n"/>
      <c r="F35" s="25" t="n"/>
      <c r="G35" s="25">
        <f>IF(AND(E35="",F35=""),"",E35+F35)</f>
        <v/>
      </c>
      <c r="H35" s="5" t="n"/>
      <c r="I35" s="5" t="n"/>
      <c r="J35" s="5" t="n"/>
      <c r="K35" s="5" t="n"/>
      <c r="L35" s="25" t="n"/>
      <c r="M35" s="31">
        <f>IF(OR(G35="",G35=0),"",L35/G35)</f>
        <v/>
      </c>
    </row>
    <row r="36">
      <c r="A36" s="5" t="n"/>
      <c r="B36" s="5" t="n"/>
      <c r="C36" s="5" t="n"/>
      <c r="D36" s="5" t="n"/>
      <c r="E36" s="25" t="n"/>
      <c r="F36" s="25" t="n"/>
      <c r="G36" s="25">
        <f>IF(AND(E36="",F36=""),"",E36+F36)</f>
        <v/>
      </c>
      <c r="H36" s="5" t="n"/>
      <c r="I36" s="5" t="n"/>
      <c r="J36" s="5" t="n"/>
      <c r="K36" s="5" t="n"/>
      <c r="L36" s="25" t="n"/>
      <c r="M36" s="31">
        <f>IF(OR(G36="",G36=0),"",L36/G36)</f>
        <v/>
      </c>
    </row>
    <row r="37">
      <c r="A37" s="5" t="n"/>
      <c r="B37" s="5" t="n"/>
      <c r="C37" s="5" t="n"/>
      <c r="D37" s="5" t="n"/>
      <c r="E37" s="25" t="n"/>
      <c r="F37" s="25" t="n"/>
      <c r="G37" s="25">
        <f>IF(AND(E37="",F37=""),"",E37+F37)</f>
        <v/>
      </c>
      <c r="H37" s="5" t="n"/>
      <c r="I37" s="5" t="n"/>
      <c r="J37" s="5" t="n"/>
      <c r="K37" s="5" t="n"/>
      <c r="L37" s="25" t="n"/>
      <c r="M37" s="31">
        <f>IF(OR(G37="",G37=0),"",L37/G37)</f>
        <v/>
      </c>
    </row>
    <row r="38">
      <c r="A38" s="5" t="n"/>
      <c r="B38" s="5" t="n"/>
      <c r="C38" s="5" t="n"/>
      <c r="D38" s="5" t="n"/>
      <c r="E38" s="25" t="n"/>
      <c r="F38" s="25" t="n"/>
      <c r="G38" s="25">
        <f>IF(AND(E38="",F38=""),"",E38+F38)</f>
        <v/>
      </c>
      <c r="H38" s="5" t="n"/>
      <c r="I38" s="5" t="n"/>
      <c r="J38" s="5" t="n"/>
      <c r="K38" s="5" t="n"/>
      <c r="L38" s="25" t="n"/>
      <c r="M38" s="31">
        <f>IF(OR(G38="",G38=0),"",L38/G38)</f>
        <v/>
      </c>
    </row>
    <row r="39">
      <c r="A39" s="5" t="n"/>
      <c r="B39" s="5" t="n"/>
      <c r="C39" s="5" t="n"/>
      <c r="D39" s="5" t="n"/>
      <c r="E39" s="25" t="n"/>
      <c r="F39" s="25" t="n"/>
      <c r="G39" s="25">
        <f>IF(AND(E39="",F39=""),"",E39+F39)</f>
        <v/>
      </c>
      <c r="H39" s="5" t="n"/>
      <c r="I39" s="5" t="n"/>
      <c r="J39" s="5" t="n"/>
      <c r="K39" s="5" t="n"/>
      <c r="L39" s="25" t="n"/>
      <c r="M39" s="31">
        <f>IF(OR(G39="",G39=0),"",L39/G39)</f>
        <v/>
      </c>
    </row>
    <row r="40">
      <c r="A40" s="5" t="n"/>
      <c r="B40" s="5" t="n"/>
      <c r="C40" s="5" t="n"/>
      <c r="D40" s="5" t="n"/>
      <c r="E40" s="25" t="n"/>
      <c r="F40" s="25" t="n"/>
      <c r="G40" s="25">
        <f>IF(AND(E40="",F40=""),"",E40+F40)</f>
        <v/>
      </c>
      <c r="H40" s="5" t="n"/>
      <c r="I40" s="5" t="n"/>
      <c r="J40" s="5" t="n"/>
      <c r="K40" s="5" t="n"/>
      <c r="L40" s="25" t="n"/>
      <c r="M40" s="31">
        <f>IF(OR(G40="",G40=0),"",L40/G40)</f>
        <v/>
      </c>
    </row>
    <row r="41">
      <c r="A41" s="5" t="n"/>
      <c r="B41" s="5" t="n"/>
      <c r="C41" s="5" t="n"/>
      <c r="D41" s="5" t="n"/>
      <c r="E41" s="25" t="n"/>
      <c r="F41" s="25" t="n"/>
      <c r="G41" s="25">
        <f>IF(AND(E41="",F41=""),"",E41+F41)</f>
        <v/>
      </c>
      <c r="H41" s="5" t="n"/>
      <c r="I41" s="5" t="n"/>
      <c r="J41" s="5" t="n"/>
      <c r="K41" s="5" t="n"/>
      <c r="L41" s="25" t="n"/>
      <c r="M41" s="31">
        <f>IF(OR(G41="",G41=0),"",L41/G41)</f>
        <v/>
      </c>
    </row>
    <row r="42">
      <c r="A42" s="5" t="n"/>
      <c r="B42" s="5" t="n"/>
      <c r="C42" s="5" t="n"/>
      <c r="D42" s="5" t="n"/>
      <c r="E42" s="25" t="n"/>
      <c r="F42" s="25" t="n"/>
      <c r="G42" s="25">
        <f>IF(AND(E42="",F42=""),"",E42+F42)</f>
        <v/>
      </c>
      <c r="H42" s="5" t="n"/>
      <c r="I42" s="5" t="n"/>
      <c r="J42" s="5" t="n"/>
      <c r="K42" s="5" t="n"/>
      <c r="L42" s="25" t="n"/>
      <c r="M42" s="31">
        <f>IF(OR(G42="",G42=0),"",L42/G42)</f>
        <v/>
      </c>
    </row>
    <row r="43">
      <c r="A43" s="5" t="n"/>
      <c r="B43" s="5" t="n"/>
      <c r="C43" s="5" t="n"/>
      <c r="D43" s="5" t="n"/>
      <c r="E43" s="25" t="n"/>
      <c r="F43" s="25" t="n"/>
      <c r="G43" s="25">
        <f>IF(AND(E43="",F43=""),"",E43+F43)</f>
        <v/>
      </c>
      <c r="H43" s="5" t="n"/>
      <c r="I43" s="5" t="n"/>
      <c r="J43" s="5" t="n"/>
      <c r="K43" s="5" t="n"/>
      <c r="L43" s="25" t="n"/>
      <c r="M43" s="31">
        <f>IF(OR(G43="",G43=0),"",L43/G43)</f>
        <v/>
      </c>
    </row>
    <row r="44">
      <c r="A44" s="5" t="n"/>
      <c r="B44" s="5" t="n"/>
      <c r="C44" s="5" t="n"/>
      <c r="D44" s="5" t="n"/>
      <c r="E44" s="25" t="n"/>
      <c r="F44" s="25" t="n"/>
      <c r="G44" s="25">
        <f>IF(AND(E44="",F44=""),"",E44+F44)</f>
        <v/>
      </c>
      <c r="H44" s="5" t="n"/>
      <c r="I44" s="5" t="n"/>
      <c r="J44" s="5" t="n"/>
      <c r="K44" s="5" t="n"/>
      <c r="L44" s="25" t="n"/>
      <c r="M44" s="31">
        <f>IF(OR(G44="",G44=0),"",L44/G44)</f>
        <v/>
      </c>
    </row>
    <row r="45">
      <c r="A45" s="5" t="n"/>
      <c r="B45" s="5" t="n"/>
      <c r="C45" s="5" t="n"/>
      <c r="D45" s="5" t="n"/>
      <c r="E45" s="25" t="n"/>
      <c r="F45" s="25" t="n"/>
      <c r="G45" s="25">
        <f>IF(AND(E45="",F45=""),"",E45+F45)</f>
        <v/>
      </c>
      <c r="H45" s="5" t="n"/>
      <c r="I45" s="5" t="n"/>
      <c r="J45" s="5" t="n"/>
      <c r="K45" s="5" t="n"/>
      <c r="L45" s="25" t="n"/>
      <c r="M45" s="31">
        <f>IF(OR(G45="",G45=0),"",L45/G45)</f>
        <v/>
      </c>
    </row>
    <row r="46">
      <c r="A46" s="5" t="n"/>
      <c r="B46" s="5" t="n"/>
      <c r="C46" s="5" t="n"/>
      <c r="D46" s="5" t="n"/>
      <c r="E46" s="25" t="n"/>
      <c r="F46" s="25" t="n"/>
      <c r="G46" s="25">
        <f>IF(AND(E46="",F46=""),"",E46+F46)</f>
        <v/>
      </c>
      <c r="H46" s="5" t="n"/>
      <c r="I46" s="5" t="n"/>
      <c r="J46" s="5" t="n"/>
      <c r="K46" s="5" t="n"/>
      <c r="L46" s="25" t="n"/>
      <c r="M46" s="31">
        <f>IF(OR(G46="",G46=0),"",L46/G46)</f>
        <v/>
      </c>
    </row>
    <row r="47">
      <c r="A47" s="5" t="n"/>
      <c r="B47" s="5" t="n"/>
      <c r="C47" s="5" t="n"/>
      <c r="D47" s="5" t="n"/>
      <c r="E47" s="25" t="n"/>
      <c r="F47" s="25" t="n"/>
      <c r="G47" s="25">
        <f>IF(AND(E47="",F47=""),"",E47+F47)</f>
        <v/>
      </c>
      <c r="H47" s="5" t="n"/>
      <c r="I47" s="5" t="n"/>
      <c r="J47" s="5" t="n"/>
      <c r="K47" s="5" t="n"/>
      <c r="L47" s="25" t="n"/>
      <c r="M47" s="31">
        <f>IF(OR(G47="",G47=0),"",L47/G47)</f>
        <v/>
      </c>
    </row>
    <row r="48">
      <c r="A48" s="5" t="n"/>
      <c r="B48" s="5" t="n"/>
      <c r="C48" s="5" t="n"/>
      <c r="D48" s="5" t="n"/>
      <c r="E48" s="25" t="n"/>
      <c r="F48" s="25" t="n"/>
      <c r="G48" s="25">
        <f>IF(AND(E48="",F48=""),"",E48+F48)</f>
        <v/>
      </c>
      <c r="H48" s="5" t="n"/>
      <c r="I48" s="5" t="n"/>
      <c r="J48" s="5" t="n"/>
      <c r="K48" s="5" t="n"/>
      <c r="L48" s="25" t="n"/>
      <c r="M48" s="31">
        <f>IF(OR(G48="",G48=0),"",L48/G48)</f>
        <v/>
      </c>
    </row>
    <row r="49">
      <c r="A49" s="5" t="n"/>
      <c r="B49" s="5" t="n"/>
      <c r="C49" s="5" t="n"/>
      <c r="D49" s="5" t="n"/>
      <c r="E49" s="25" t="n"/>
      <c r="F49" s="25" t="n"/>
      <c r="G49" s="25">
        <f>IF(AND(E49="",F49=""),"",E49+F49)</f>
        <v/>
      </c>
      <c r="H49" s="5" t="n"/>
      <c r="I49" s="5" t="n"/>
      <c r="J49" s="5" t="n"/>
      <c r="K49" s="5" t="n"/>
      <c r="L49" s="25" t="n"/>
      <c r="M49" s="31">
        <f>IF(OR(G49="",G49=0),"",L49/G49)</f>
        <v/>
      </c>
    </row>
    <row r="50">
      <c r="A50" s="5" t="n"/>
      <c r="B50" s="5" t="n"/>
      <c r="C50" s="5" t="n"/>
      <c r="D50" s="5" t="n"/>
      <c r="E50" s="25" t="n"/>
      <c r="F50" s="25" t="n"/>
      <c r="G50" s="25">
        <f>IF(AND(E50="",F50=""),"",E50+F50)</f>
        <v/>
      </c>
      <c r="H50" s="5" t="n"/>
      <c r="I50" s="5" t="n"/>
      <c r="J50" s="5" t="n"/>
      <c r="K50" s="5" t="n"/>
      <c r="L50" s="25" t="n"/>
      <c r="M50" s="31">
        <f>IF(OR(G50="",G50=0),"",L50/G50)</f>
        <v/>
      </c>
    </row>
    <row r="51">
      <c r="A51" s="5" t="n"/>
      <c r="B51" s="5" t="n"/>
      <c r="C51" s="5" t="n"/>
      <c r="D51" s="5" t="n"/>
      <c r="E51" s="25" t="n"/>
      <c r="F51" s="25" t="n"/>
      <c r="G51" s="25">
        <f>IF(AND(E51="",F51=""),"",E51+F51)</f>
        <v/>
      </c>
      <c r="H51" s="5" t="n"/>
      <c r="I51" s="5" t="n"/>
      <c r="J51" s="5" t="n"/>
      <c r="K51" s="5" t="n"/>
      <c r="L51" s="25" t="n"/>
      <c r="M51" s="31">
        <f>IF(OR(G51="",G51=0),"",L51/G51)</f>
        <v/>
      </c>
    </row>
    <row r="52">
      <c r="A52" s="5" t="n"/>
      <c r="B52" s="5" t="n"/>
      <c r="C52" s="5" t="n"/>
      <c r="D52" s="5" t="n"/>
      <c r="E52" s="25" t="n"/>
      <c r="F52" s="25" t="n"/>
      <c r="G52" s="25">
        <f>IF(AND(E52="",F52=""),"",E52+F52)</f>
        <v/>
      </c>
      <c r="H52" s="5" t="n"/>
      <c r="I52" s="5" t="n"/>
      <c r="J52" s="5" t="n"/>
      <c r="K52" s="5" t="n"/>
      <c r="L52" s="25" t="n"/>
      <c r="M52" s="31">
        <f>IF(OR(G52="",G52=0),"",L52/G52)</f>
        <v/>
      </c>
    </row>
    <row r="53">
      <c r="A53" s="5" t="n"/>
      <c r="B53" s="5" t="n"/>
      <c r="C53" s="5" t="n"/>
      <c r="D53" s="5" t="n"/>
      <c r="E53" s="25" t="n"/>
      <c r="F53" s="25" t="n"/>
      <c r="G53" s="25">
        <f>IF(AND(E53="",F53=""),"",E53+F53)</f>
        <v/>
      </c>
      <c r="H53" s="5" t="n"/>
      <c r="I53" s="5" t="n"/>
      <c r="J53" s="5" t="n"/>
      <c r="K53" s="5" t="n"/>
      <c r="L53" s="25" t="n"/>
      <c r="M53" s="31">
        <f>IF(OR(G53="",G53=0),"",L53/G53)</f>
        <v/>
      </c>
    </row>
    <row r="54">
      <c r="A54" s="5" t="n"/>
      <c r="B54" s="5" t="n"/>
      <c r="C54" s="5" t="n"/>
      <c r="D54" s="5" t="n"/>
      <c r="E54" s="25" t="n"/>
      <c r="F54" s="25" t="n"/>
      <c r="G54" s="25">
        <f>IF(AND(E54="",F54=""),"",E54+F54)</f>
        <v/>
      </c>
      <c r="H54" s="5" t="n"/>
      <c r="I54" s="5" t="n"/>
      <c r="J54" s="5" t="n"/>
      <c r="K54" s="5" t="n"/>
      <c r="L54" s="25" t="n"/>
      <c r="M54" s="31">
        <f>IF(OR(G54="",G54=0),"",L54/G54)</f>
        <v/>
      </c>
    </row>
    <row r="55">
      <c r="A55" s="5" t="n"/>
      <c r="B55" s="5" t="n"/>
      <c r="C55" s="5" t="n"/>
      <c r="D55" s="5" t="n"/>
      <c r="E55" s="25" t="n"/>
      <c r="F55" s="25" t="n"/>
      <c r="G55" s="25">
        <f>IF(AND(E55="",F55=""),"",E55+F55)</f>
        <v/>
      </c>
      <c r="H55" s="5" t="n"/>
      <c r="I55" s="5" t="n"/>
      <c r="J55" s="5" t="n"/>
      <c r="K55" s="5" t="n"/>
      <c r="L55" s="25" t="n"/>
      <c r="M55" s="31">
        <f>IF(OR(G55="",G55=0),"",L55/G55)</f>
        <v/>
      </c>
    </row>
    <row r="56">
      <c r="A56" s="5" t="n"/>
      <c r="B56" s="5" t="n"/>
      <c r="C56" s="5" t="n"/>
      <c r="D56" s="5" t="n"/>
      <c r="E56" s="25" t="n"/>
      <c r="F56" s="25" t="n"/>
      <c r="G56" s="25">
        <f>IF(AND(E56="",F56=""),"",E56+F56)</f>
        <v/>
      </c>
      <c r="H56" s="5" t="n"/>
      <c r="I56" s="5" t="n"/>
      <c r="J56" s="5" t="n"/>
      <c r="K56" s="5" t="n"/>
      <c r="L56" s="25" t="n"/>
      <c r="M56" s="31">
        <f>IF(OR(G56="",G56=0),"",L56/G56)</f>
        <v/>
      </c>
    </row>
    <row r="57">
      <c r="A57" s="5" t="n"/>
      <c r="B57" s="5" t="n"/>
      <c r="C57" s="5" t="n"/>
      <c r="D57" s="5" t="n"/>
      <c r="E57" s="25" t="n"/>
      <c r="F57" s="25" t="n"/>
      <c r="G57" s="25">
        <f>IF(AND(E57="",F57=""),"",E57+F57)</f>
        <v/>
      </c>
      <c r="H57" s="5" t="n"/>
      <c r="I57" s="5" t="n"/>
      <c r="J57" s="5" t="n"/>
      <c r="K57" s="5" t="n"/>
      <c r="L57" s="25" t="n"/>
      <c r="M57" s="31">
        <f>IF(OR(G57="",G57=0),"",L57/G57)</f>
        <v/>
      </c>
    </row>
    <row r="58">
      <c r="A58" s="5" t="n"/>
      <c r="B58" s="5" t="n"/>
      <c r="C58" s="5" t="n"/>
      <c r="D58" s="5" t="n"/>
      <c r="E58" s="25" t="n"/>
      <c r="F58" s="25" t="n"/>
      <c r="G58" s="25">
        <f>IF(AND(E58="",F58=""),"",E58+F58)</f>
        <v/>
      </c>
      <c r="H58" s="5" t="n"/>
      <c r="I58" s="5" t="n"/>
      <c r="J58" s="5" t="n"/>
      <c r="K58" s="5" t="n"/>
      <c r="L58" s="25" t="n"/>
      <c r="M58" s="31">
        <f>IF(OR(G58="",G58=0),"",L58/G58)</f>
        <v/>
      </c>
    </row>
    <row r="59">
      <c r="A59" s="5" t="n"/>
      <c r="B59" s="5" t="n"/>
      <c r="C59" s="5" t="n"/>
      <c r="D59" s="5" t="n"/>
      <c r="E59" s="25" t="n"/>
      <c r="F59" s="25" t="n"/>
      <c r="G59" s="25">
        <f>IF(AND(E59="",F59=""),"",E59+F59)</f>
        <v/>
      </c>
      <c r="H59" s="5" t="n"/>
      <c r="I59" s="5" t="n"/>
      <c r="J59" s="5" t="n"/>
      <c r="K59" s="5" t="n"/>
      <c r="L59" s="25" t="n"/>
      <c r="M59" s="31">
        <f>IF(OR(G59="",G59=0),"",L59/G59)</f>
        <v/>
      </c>
    </row>
    <row r="60">
      <c r="A60" s="5" t="n"/>
      <c r="B60" s="5" t="n"/>
      <c r="C60" s="5" t="n"/>
      <c r="D60" s="5" t="n"/>
      <c r="E60" s="25" t="n"/>
      <c r="F60" s="25" t="n"/>
      <c r="G60" s="25">
        <f>IF(AND(E60="",F60=""),"",E60+F60)</f>
        <v/>
      </c>
      <c r="H60" s="5" t="n"/>
      <c r="I60" s="5" t="n"/>
      <c r="J60" s="5" t="n"/>
      <c r="K60" s="5" t="n"/>
      <c r="L60" s="25" t="n"/>
      <c r="M60" s="31">
        <f>IF(OR(G60="",G60=0),"",L60/G60)</f>
        <v/>
      </c>
    </row>
    <row r="61">
      <c r="A61" s="5" t="n"/>
      <c r="B61" s="5" t="n"/>
      <c r="C61" s="5" t="n"/>
      <c r="D61" s="5" t="n"/>
      <c r="E61" s="25" t="n"/>
      <c r="F61" s="25" t="n"/>
      <c r="G61" s="25">
        <f>IF(AND(E61="",F61=""),"",E61+F61)</f>
        <v/>
      </c>
      <c r="H61" s="5" t="n"/>
      <c r="I61" s="5" t="n"/>
      <c r="J61" s="5" t="n"/>
      <c r="K61" s="5" t="n"/>
      <c r="L61" s="25" t="n"/>
      <c r="M61" s="31">
        <f>IF(OR(G61="",G61=0),"",L61/G61)</f>
        <v/>
      </c>
    </row>
  </sheetData>
  <dataValidations count="1">
    <dataValidation sqref="B2:B61" showDropDown="0" showInputMessage="0" showErrorMessage="0" allowBlank="1" type="list">
      <formula1>"Influencer,Reel,Offer,Hotel tie-up"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2026-08-13T07:20:06Z</dcterms:created>
  <dcterms:modified xsi:type="dcterms:W3CDTF">2026-08-13T07:20:06Z</dcterms:modified>
</cp:coreProperties>
</file>