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Inputs" sheetId="2" state="visible" r:id="rId2"/>
    <sheet name="BreakEven" sheetId="3" state="visible" r:id="rId3"/>
    <sheet name="Seasons" sheetId="4" state="visible" r:id="rId4"/>
    <sheet name="Setup" sheetId="5" state="visible" r:id="rId5"/>
    <sheet name="Menu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₹#,##0;[RED]&quot;(₹&quot;#,##0\);\-"/>
    <numFmt numFmtId="165" formatCode="0.0"/>
    <numFmt numFmtId="166" formatCode="0.0%;[RED]\-0.0%;\-"/>
    <numFmt numFmtId="167" formatCode="\₹#,##0"/>
    <numFmt numFmtId="168" formatCode="\₹#,##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theme="1"/>
      <sz val="11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</fonts>
  <fills count="6">
    <fill>
      <patternFill/>
    </fill>
    <fill>
      <patternFill patternType="gray125"/>
    </fill>
    <fill>
      <patternFill patternType="solid">
        <fgColor rgb="FF7A1F12"/>
        <bgColor rgb="FF800000"/>
      </patternFill>
    </fill>
    <fill>
      <patternFill patternType="solid">
        <fgColor rgb="FF3A2A22"/>
        <bgColor rgb="FF333300"/>
      </patternFill>
    </fill>
    <fill>
      <patternFill patternType="solid">
        <fgColor rgb="FFFFF8CC"/>
        <bgColor rgb="FFF3E7D6"/>
      </patternFill>
    </fill>
    <fill>
      <patternFill patternType="solid">
        <fgColor rgb="FFF3E7D6"/>
        <bgColor rgb="FFFFF8CC"/>
      </patternFill>
    </fill>
  </fills>
  <borders count="2">
    <border>
      <left/>
      <right/>
      <top/>
      <bottom/>
      <diagonal/>
    </border>
    <border>
      <left style="thin">
        <color rgb="FFD9CBB8"/>
      </left>
      <right style="thin">
        <color rgb="FFD9CBB8"/>
      </right>
      <top style="thin">
        <color rgb="FFD9CBB8"/>
      </top>
      <bottom style="thin">
        <color rgb="FFD9CB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166" fontId="8" fillId="5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7" fontId="10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9" fontId="10" fillId="4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9" fontId="8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166" fontId="8" fillId="5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7" fontId="10" fillId="4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9" fontId="10" fillId="4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9" fontId="8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8"/>
      <rgbColor rgb="FF808080"/>
      <rgbColor rgb="FF9999FF"/>
      <rgbColor rgb="FF993366"/>
      <rgbColor rgb="FFFFF8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1F12"/>
      <rgbColor rgb="FF993366"/>
      <rgbColor rgb="FF333399"/>
      <rgbColor rgb="FF3A2A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35" min="1" max="1"/>
    <col width="95" customWidth="1" style="35" min="2" max="2"/>
  </cols>
  <sheetData>
    <row r="1" ht="30" customHeight="1" s="36">
      <c r="A1" s="37" t="inlineStr">
        <is>
          <t>Restaurant Economics Calculator</t>
        </is>
      </c>
      <c r="B1" s="38" t="n"/>
      <c r="C1" s="38" t="n"/>
      <c r="D1" s="38" t="n"/>
    </row>
    <row r="2" ht="15" customHeight="1" s="36">
      <c r="A2" s="39" t="inlineStr">
        <is>
          <t>Betalbatim 24-seat Chinese-Tibetan-Korean kitchen</t>
        </is>
      </c>
      <c r="B2" s="40" t="n"/>
      <c r="C2" s="40" t="n"/>
      <c r="D2" s="40" t="n"/>
    </row>
    <row r="3" ht="15" customHeight="1" s="36">
      <c r="A3" s="40" t="n"/>
      <c r="B3" s="40" t="n"/>
      <c r="C3" s="40" t="n"/>
      <c r="D3" s="40" t="n"/>
    </row>
    <row r="4" ht="15" customHeight="1" s="36">
      <c r="A4" s="41" t="inlineStr">
        <is>
          <t>How to use</t>
        </is>
      </c>
      <c r="B4" s="42" t="n"/>
      <c r="C4" s="40" t="n"/>
      <c r="D4" s="40" t="n"/>
    </row>
    <row r="5" ht="15" customHeight="1" s="36">
      <c r="A5" s="43" t="inlineStr">
        <is>
          <t>1. Edit only the blue cells on 'Inputs'</t>
        </is>
      </c>
      <c r="B5" s="44" t="inlineStr">
        <is>
          <t>Yellow-filled blue cells are inputs. Black cells are formulas. Green cells pull from another sheet.</t>
        </is>
      </c>
      <c r="C5" s="40" t="n"/>
      <c r="D5" s="40" t="n"/>
    </row>
    <row r="6" ht="23.85" customHeight="1" s="36">
      <c r="A6" s="43" t="inlineStr">
        <is>
          <t>2. Read the results</t>
        </is>
      </c>
      <c r="B6" s="44" t="inlineStr">
        <is>
          <t>BreakEven: sales needed to cover costs. Seasons: 12-month profit. Setup: startup budget and payback. Menu: dish-level pricing check.</t>
        </is>
      </c>
      <c r="C6" s="40" t="n"/>
      <c r="D6" s="40" t="n"/>
    </row>
    <row r="7" ht="23.85" customHeight="1" s="36">
      <c r="A7" s="43" t="inlineStr">
        <is>
          <t>3. Replace my estimates</t>
        </is>
      </c>
      <c r="B7" s="44" t="inlineStr">
        <is>
          <t>Wages, deposit, interior costs, utilities and ingredient costs are estimates, not quotes. Replace them with real quotes before deciding.</t>
        </is>
      </c>
      <c r="C7" s="40" t="n"/>
      <c r="D7" s="40" t="n"/>
    </row>
    <row r="8" ht="15" customHeight="1" s="36">
      <c r="A8" s="43" t="n"/>
      <c r="B8" s="40" t="n"/>
      <c r="C8" s="40" t="n"/>
      <c r="D8" s="40" t="n"/>
    </row>
    <row r="9" ht="15" customHeight="1" s="36">
      <c r="A9" s="41" t="inlineStr">
        <is>
          <t>Key terms</t>
        </is>
      </c>
      <c r="B9" s="42" t="n"/>
      <c r="C9" s="40" t="n"/>
      <c r="D9" s="40" t="n"/>
    </row>
    <row r="10" ht="15" customHeight="1" s="36">
      <c r="A10" s="43" t="inlineStr">
        <is>
          <t>Covers</t>
        </is>
      </c>
      <c r="B10" s="44" t="inlineStr">
        <is>
          <t>Number of guests served.</t>
        </is>
      </c>
      <c r="C10" s="40" t="n"/>
      <c r="D10" s="40" t="n"/>
    </row>
    <row r="11" ht="15" customHeight="1" s="36">
      <c r="A11" s="43" t="inlineStr">
        <is>
          <t>ASP</t>
        </is>
      </c>
      <c r="B11" s="44" t="inlineStr">
        <is>
          <t>Average spend per head, before GST.</t>
        </is>
      </c>
      <c r="C11" s="40" t="n"/>
      <c r="D11" s="40" t="n"/>
    </row>
    <row r="12" ht="15" customHeight="1" s="36">
      <c r="A12" s="43" t="inlineStr">
        <is>
          <t>Food cost %</t>
        </is>
      </c>
      <c r="B12" s="44" t="inlineStr">
        <is>
          <t>Ingredient cost divided by sales. Aim for a blended 28-31%.</t>
        </is>
      </c>
      <c r="C12" s="40" t="n"/>
      <c r="D12" s="40" t="n"/>
    </row>
    <row r="13" ht="15" customHeight="1" s="36">
      <c r="A13" s="43" t="inlineStr">
        <is>
          <t>Contribution margin</t>
        </is>
      </c>
      <c r="B13" s="44" t="inlineStr">
        <is>
          <t>Share of each rupee of sales left after variable costs. Break-even sales = fixed costs / contribution margin.</t>
        </is>
      </c>
      <c r="C13" s="40" t="n"/>
      <c r="D13" s="40" t="n"/>
    </row>
    <row r="14" ht="15" customHeight="1" s="36">
      <c r="A14" s="43" t="inlineStr">
        <is>
          <t>Prime cost</t>
        </is>
      </c>
      <c r="B14" s="44" t="inlineStr">
        <is>
          <t>Food cost plus staff cost as a share of sales. Aim for 60-65% or lower.</t>
        </is>
      </c>
      <c r="C14" s="40" t="n"/>
      <c r="D14" s="40" t="n"/>
    </row>
    <row r="15" ht="15" customHeight="1" s="36">
      <c r="A15" s="43" t="n"/>
      <c r="B15" s="40" t="n"/>
      <c r="C15" s="40" t="n"/>
      <c r="D15" s="40" t="n"/>
    </row>
    <row r="16" ht="15" customHeight="1" s="36">
      <c r="A16" s="41" t="inlineStr">
        <is>
          <t>Not included</t>
        </is>
      </c>
      <c r="B16" s="42" t="n"/>
      <c r="C16" s="40" t="n"/>
      <c r="D16" s="40" t="n"/>
    </row>
    <row r="17" ht="15" customHeight="1" s="36">
      <c r="A17" s="43" t="inlineStr">
        <is>
          <t>Owner's pay</t>
        </is>
      </c>
      <c r="B17" s="44" t="inlineStr">
        <is>
          <t>Set to 0 on Inputs. If you work front-of-house unpaid, enter a drawing there to see the true profit.</t>
        </is>
      </c>
      <c r="C17" s="40" t="n"/>
      <c r="D17" s="40" t="n"/>
    </row>
    <row r="18" ht="23.85" customHeight="1" s="36">
      <c r="A18" s="43" t="inlineStr">
        <is>
          <t>Income tax and GST</t>
        </is>
      </c>
      <c r="B18" s="44" t="inlineStr">
        <is>
          <t>Menu prices are treated as before GST. 5% GST is collected from guests and is not your income. Income tax is not modelled.</t>
        </is>
      </c>
      <c r="C18" s="40" t="n"/>
      <c r="D18" s="40" t="n"/>
    </row>
    <row r="19" ht="15" customHeight="1" s="36">
      <c r="A19" s="43" t="inlineStr">
        <is>
          <t>Repairs and replacement</t>
        </is>
      </c>
      <c r="B19" s="44" t="inlineStr">
        <is>
          <t>Only a small allowance is in 'Repairs, licences, software, marketing'. Equipment will need replacing over time.</t>
        </is>
      </c>
      <c r="C19" s="40" t="n"/>
      <c r="D19" s="40" t="n"/>
    </row>
    <row r="20" ht="15" customHeight="1" s="36">
      <c r="A20" s="43" t="inlineStr">
        <is>
          <t>Delivery apps</t>
        </is>
      </c>
      <c r="B20" s="44" t="inlineStr">
        <is>
          <t>Not modelled. Aggregators take about 20-25% commission, which would cut the contribution margin sharply.</t>
        </is>
      </c>
      <c r="C20" s="40" t="n"/>
      <c r="D20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6" customWidth="1" style="35" min="1" max="1"/>
    <col width="16" customWidth="1" style="35" min="2" max="2"/>
    <col width="70" customWidth="1" style="35" min="3" max="3"/>
  </cols>
  <sheetData>
    <row r="1" ht="30" customHeight="1" s="36">
      <c r="A1" s="37" t="inlineStr">
        <is>
          <t>Inputs</t>
        </is>
      </c>
      <c r="B1" s="38" t="n"/>
      <c r="C1" s="38" t="n"/>
    </row>
    <row r="2" ht="15" customHeight="1" s="36">
      <c r="A2" s="39" t="inlineStr">
        <is>
          <t>Edit the blue cells. Everything else recalculates.</t>
        </is>
      </c>
      <c r="B2" s="40" t="n"/>
      <c r="C2" s="40" t="n"/>
    </row>
    <row r="3" ht="15" customHeight="1" s="36">
      <c r="A3" s="40" t="n"/>
      <c r="B3" s="40" t="n"/>
      <c r="C3" s="40" t="n"/>
    </row>
    <row r="4" ht="15" customHeight="1" s="36">
      <c r="A4" s="41" t="inlineStr">
        <is>
          <t>SALES</t>
        </is>
      </c>
      <c r="B4" s="42" t="n"/>
      <c r="C4" s="42" t="n"/>
    </row>
    <row r="5" ht="15" customHeight="1" s="36">
      <c r="A5" s="45" t="inlineStr">
        <is>
          <t>Average spend per head, ASP (₹, before GST)</t>
        </is>
      </c>
      <c r="B5" s="46" t="n">
        <v>550</v>
      </c>
      <c r="C5" s="39" t="inlineStr">
        <is>
          <t>From your plan: planning range ₹400-700.</t>
        </is>
      </c>
    </row>
    <row r="6" ht="15" customHeight="1" s="36">
      <c r="A6" s="45" t="inlineStr">
        <is>
          <t>Seats</t>
        </is>
      </c>
      <c r="B6" s="47" t="n">
        <v>28</v>
      </c>
      <c r="C6" s="39" t="inlineStr">
        <is>
          <t>28 covers from the current plan (18 inside + 10 in the garden); flex to about 30 in peak.</t>
        </is>
      </c>
    </row>
    <row r="7" ht="15" customHeight="1" s="36">
      <c r="A7" s="45" t="inlineStr">
        <is>
          <t>Days open per month</t>
        </is>
      </c>
      <c r="B7" s="47" t="n">
        <v>30</v>
      </c>
      <c r="C7" s="39" t="inlineStr">
        <is>
          <t>Reduce if you close one day a week.</t>
        </is>
      </c>
    </row>
    <row r="8" ht="15" customHeight="1" s="36">
      <c r="A8" s="45" t="inlineStr">
        <is>
          <t>What-if covers per day</t>
        </is>
      </c>
      <c r="B8" s="47" t="n">
        <v>20</v>
      </c>
      <c r="C8" s="39" t="inlineStr">
        <is>
          <t>Used on BreakEven to test a single scenario.</t>
        </is>
      </c>
    </row>
    <row r="9" ht="15" customHeight="1" s="36">
      <c r="A9" s="45" t="inlineStr">
        <is>
          <t>Items ordered per guest</t>
        </is>
      </c>
      <c r="B9" s="48" t="n">
        <v>2.3</v>
      </c>
      <c r="C9" s="39" t="inlineStr">
        <is>
          <t>Estimate; used on Menu to check the implied ASP.</t>
        </is>
      </c>
    </row>
    <row r="10" ht="15" customHeight="1" s="36">
      <c r="A10" s="41" t="inlineStr">
        <is>
          <t>FIXED COSTS (₹ per month)</t>
        </is>
      </c>
      <c r="B10" s="42" t="n"/>
      <c r="C10" s="42" t="n"/>
    </row>
    <row r="11" ht="15" customHeight="1" s="36">
      <c r="A11" s="45" t="inlineStr">
        <is>
          <t>Rent</t>
        </is>
      </c>
      <c r="B11" s="46" t="n">
        <v>40000</v>
      </c>
      <c r="C11" s="39" t="inlineStr">
        <is>
          <t>Your figure.</t>
        </is>
      </c>
    </row>
    <row r="12" ht="15" customHeight="1" s="36">
      <c r="A12" s="45" t="inlineStr">
        <is>
          <t>Chef</t>
        </is>
      </c>
      <c r="B12" s="46" t="n">
        <v>25000</v>
      </c>
      <c r="C12" s="39" t="inlineStr">
        <is>
          <t>Estimate: Chinese/Tibetan wok-trained, also cooks the Korean items.</t>
        </is>
      </c>
    </row>
    <row r="13" ht="15" customHeight="1" s="36">
      <c r="A13" s="45" t="inlineStr">
        <is>
          <t>Kitchen helper</t>
        </is>
      </c>
      <c r="B13" s="46" t="n">
        <v>13000</v>
      </c>
      <c r="C13" s="39" t="inlineStr">
        <is>
          <t>Estimate.</t>
        </is>
      </c>
    </row>
    <row r="14" ht="15" customHeight="1" s="36">
      <c r="A14" s="45" t="inlineStr">
        <is>
          <t>Server / cashier</t>
        </is>
      </c>
      <c r="B14" s="46" t="n">
        <v>12000</v>
      </c>
      <c r="C14" s="39" t="inlineStr">
        <is>
          <t>Estimate: third staff member.</t>
        </is>
      </c>
    </row>
    <row r="15" ht="15" customHeight="1" s="36">
      <c r="A15" s="45" t="inlineStr">
        <is>
          <t>Electricity, gas, water, internet</t>
        </is>
      </c>
      <c r="B15" s="46" t="n">
        <v>13000</v>
      </c>
      <c r="C15" s="39" t="inlineStr">
        <is>
          <t>Estimate. A wok-heavy kitchen uses a lot of gas; track it in month one.</t>
        </is>
      </c>
    </row>
    <row r="16" ht="15" customHeight="1" s="36">
      <c r="A16" s="45" t="inlineStr">
        <is>
          <t>Repairs, licences, software, marketing</t>
        </is>
      </c>
      <c r="B16" s="46" t="n">
        <v>8000</v>
      </c>
      <c r="C16" s="39" t="inlineStr">
        <is>
          <t>Estimate.</t>
        </is>
      </c>
    </row>
    <row r="17" ht="15" customHeight="1" s="36">
      <c r="A17" s="45" t="inlineStr">
        <is>
          <t>Owner's drawing (optional)</t>
        </is>
      </c>
      <c r="B17" s="46" t="n">
        <v>0</v>
      </c>
      <c r="C17" s="39" t="inlineStr">
        <is>
          <t>Enter a salary for yourself to see profit after paying yourself.</t>
        </is>
      </c>
    </row>
    <row r="18" ht="15" customHeight="1" s="36">
      <c r="A18" s="43" t="inlineStr">
        <is>
          <t>Total fixed costs per month</t>
        </is>
      </c>
      <c r="B18" s="49">
        <f>SUM(B11:B17)</f>
        <v/>
      </c>
      <c r="C18" s="40" t="n"/>
    </row>
    <row r="19" ht="15" customHeight="1" s="36">
      <c r="A19" s="40" t="n"/>
      <c r="B19" s="40" t="n"/>
      <c r="C19" s="40" t="n"/>
    </row>
    <row r="20" ht="15" customHeight="1" s="36">
      <c r="A20" s="41" t="inlineStr">
        <is>
          <t>VARIABLE COSTS (% of sales)</t>
        </is>
      </c>
      <c r="B20" s="42" t="n"/>
      <c r="C20" s="42" t="n"/>
    </row>
    <row r="21" ht="15" customHeight="1" s="36">
      <c r="A21" s="45" t="inlineStr">
        <is>
          <t>Food cost %</t>
        </is>
      </c>
      <c r="B21" s="50" t="n">
        <v>0.3</v>
      </c>
      <c r="C21" s="39" t="inlineStr">
        <is>
          <t>Blended target 28-31% from your plan. The Menu sheet shows what your dishes actually imply.</t>
        </is>
      </c>
    </row>
    <row r="22" ht="15" customHeight="1" s="36">
      <c r="A22" s="45" t="inlineStr">
        <is>
          <t>Waste allowance (on ingredient cost)</t>
        </is>
      </c>
      <c r="B22" s="50" t="n">
        <v>0.08</v>
      </c>
      <c r="C22" s="39" t="inlineStr">
        <is>
          <t>Spillage, over-portioning, staff meals. Typical range 4-8%. Used on Menu.</t>
        </is>
      </c>
    </row>
    <row r="23" ht="15" customHeight="1" s="36">
      <c r="A23" s="45" t="inlineStr">
        <is>
          <t>Card/UPI fees and packaging %</t>
        </is>
      </c>
      <c r="B23" s="50" t="n">
        <v>0.02</v>
      </c>
      <c r="C23" s="39" t="inlineStr">
        <is>
          <t>Estimate.</t>
        </is>
      </c>
    </row>
    <row r="24" ht="15" customHeight="1" s="36">
      <c r="A24" s="43" t="inlineStr">
        <is>
          <t>Total variable cost %</t>
        </is>
      </c>
      <c r="B24" s="51">
        <f>B21+B23</f>
        <v/>
      </c>
      <c r="C24" s="40" t="n"/>
    </row>
    <row r="25" ht="15" customHeight="1" s="36">
      <c r="A25" s="43" t="inlineStr">
        <is>
          <t>Contribution margin</t>
        </is>
      </c>
      <c r="B25" s="51">
        <f>1-B24</f>
        <v/>
      </c>
      <c r="C25" s="40" t="n"/>
    </row>
    <row r="26" ht="15" customHeight="1" s="36">
      <c r="A26" s="40" t="n"/>
      <c r="B26" s="40" t="n"/>
      <c r="C26" s="40" t="n"/>
    </row>
    <row r="27" ht="15" customHeight="1" s="36">
      <c r="A27" s="41" t="inlineStr">
        <is>
          <t>SEASONS</t>
        </is>
      </c>
      <c r="B27" s="42" t="n"/>
      <c r="C27" s="42" t="n"/>
    </row>
    <row r="28" ht="15" customHeight="1" s="36">
      <c r="A28" s="52" t="inlineStr">
        <is>
          <t>Season</t>
        </is>
      </c>
      <c r="B28" s="53" t="inlineStr">
        <is>
          <t>Covers per day</t>
        </is>
      </c>
      <c r="C28" s="53" t="inlineStr">
        <is>
          <t>Note</t>
        </is>
      </c>
    </row>
    <row r="29" ht="15" customHeight="1" s="36">
      <c r="A29" s="45" t="inlineStr">
        <is>
          <t>Peak</t>
        </is>
      </c>
      <c r="B29" s="47" t="n">
        <v>25</v>
      </c>
      <c r="C29" s="39" t="inlineStr">
        <is>
          <t>Nov-Mar. Illustrative: assumes a good season.</t>
        </is>
      </c>
    </row>
    <row r="30" ht="15" customHeight="1" s="36">
      <c r="A30" s="45" t="inlineStr">
        <is>
          <t>Shoulder</t>
        </is>
      </c>
      <c r="B30" s="47" t="n">
        <v>15</v>
      </c>
      <c r="C30" s="39" t="inlineStr">
        <is>
          <t>Apr-May, Sep-Oct.</t>
        </is>
      </c>
    </row>
    <row r="31" ht="15" customHeight="1" s="36">
      <c r="A31" s="45" t="inlineStr">
        <is>
          <t>Monsoon</t>
        </is>
      </c>
      <c r="B31" s="47" t="n">
        <v>8</v>
      </c>
      <c r="C31" s="39" t="inlineStr">
        <is>
          <t>Jun-Aug. Many Goa beach places shut; you won't, but footfall drops.</t>
        </is>
      </c>
    </row>
    <row r="32" ht="15" customHeight="1" s="36">
      <c r="A32" s="45" t="inlineStr">
        <is>
          <t>Safety haircut on annual profit</t>
        </is>
      </c>
      <c r="B32" s="50" t="n">
        <v>0.33</v>
      </c>
      <c r="C32" s="39" t="inlineStr">
        <is>
          <t>First-year plans are usually optimistic. Seasons shows profit before and after this haircut.</t>
        </is>
      </c>
    </row>
    <row r="33" ht="15" customHeight="1" s="36">
      <c r="A33" s="40" t="n"/>
      <c r="B33" s="40" t="n"/>
      <c r="C33" s="40" t="n"/>
    </row>
    <row r="34" ht="15" customHeight="1" s="36">
      <c r="A34" s="41" t="inlineStr">
        <is>
          <t>SETUP COSTS (one-time)</t>
        </is>
      </c>
      <c r="B34" s="42" t="n"/>
      <c r="C34" s="42" t="n"/>
    </row>
    <row r="35" ht="15" customHeight="1" s="36">
      <c r="A35" s="45" t="inlineStr">
        <is>
          <t>Rent deposit (months of rent)</t>
        </is>
      </c>
      <c r="B35" s="47" t="n">
        <v>3</v>
      </c>
      <c r="C35" s="39" t="inlineStr">
        <is>
          <t>Typical Goa lease: 3-6 months. Negotiate it.</t>
        </is>
      </c>
    </row>
    <row r="36" ht="15" customHeight="1" s="36">
      <c r="A36" s="45" t="inlineStr">
        <is>
          <t>Rent deposit amount</t>
        </is>
      </c>
      <c r="B36" s="54">
        <f>B35*B11</f>
        <v/>
      </c>
      <c r="C36" s="40" t="n"/>
    </row>
    <row r="37" ht="15" customHeight="1" s="36">
      <c r="A37" s="45" t="inlineStr">
        <is>
          <t>Interiors, furniture, lighting (28 seats)</t>
        </is>
      </c>
      <c r="B37" s="46" t="n">
        <v>300000</v>
      </c>
      <c r="C37" s="39" t="inlineStr">
        <is>
          <t>Estimate. Get 2-3 quotes.</t>
        </is>
      </c>
    </row>
    <row r="38" ht="15" customHeight="1" s="36">
      <c r="A38" s="45" t="inlineStr">
        <is>
          <t>Kitchen equipment (wok burner, steamers, fryer, fridge)</t>
        </is>
      </c>
      <c r="B38" s="46" t="n">
        <v>220000</v>
      </c>
      <c r="C38" s="39" t="inlineStr">
        <is>
          <t>Estimate. Buying second-hand can cut this.</t>
        </is>
      </c>
    </row>
    <row r="39" ht="15" customHeight="1" s="36">
      <c r="A39" s="45" t="inlineStr">
        <is>
          <t>Licences, FSSAI, trade licence, signage</t>
        </is>
      </c>
      <c r="B39" s="46" t="n">
        <v>40000</v>
      </c>
      <c r="C39" s="39" t="inlineStr">
        <is>
          <t>Estimate.</t>
        </is>
      </c>
    </row>
    <row r="40" ht="15" customHeight="1" s="36">
      <c r="A40" s="45" t="inlineStr">
        <is>
          <t>POS, menu printing, launch marketing</t>
        </is>
      </c>
      <c r="B40" s="46" t="n">
        <v>60000</v>
      </c>
      <c r="C40" s="39" t="inlineStr">
        <is>
          <t>Estimate.</t>
        </is>
      </c>
    </row>
    <row r="41" ht="15" customHeight="1" s="36">
      <c r="A41" s="45" t="inlineStr">
        <is>
          <t>Crockery, cutlery, opening stock</t>
        </is>
      </c>
      <c r="B41" s="46" t="n">
        <v>80000</v>
      </c>
      <c r="C41" s="39" t="inlineStr">
        <is>
          <t>Estimate.</t>
        </is>
      </c>
    </row>
    <row r="42" ht="15" customHeight="1" s="36">
      <c r="A42" s="45" t="inlineStr">
        <is>
          <t>Cash reserve (months of fixed costs)</t>
        </is>
      </c>
      <c r="B42" s="47" t="n">
        <v>3</v>
      </c>
      <c r="C42" s="39" t="inlineStr">
        <is>
          <t>Cushion for the monsoon months. Do not skip it.</t>
        </is>
      </c>
    </row>
    <row r="43" ht="15" customHeight="1" s="36">
      <c r="A43" s="45" t="inlineStr">
        <is>
          <t>Your total budget (₹)</t>
        </is>
      </c>
      <c r="B43" s="46" t="n">
        <v>1050000</v>
      </c>
      <c r="C43" s="39" t="inlineStr">
        <is>
          <t>From your plan: about ₹10.5 lakh, flexible to ₹11-12 lakh.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35" min="1" max="1"/>
    <col width="15" customWidth="1" style="35" min="2" max="6"/>
  </cols>
  <sheetData>
    <row r="1" ht="30" customHeight="1" s="36">
      <c r="A1" s="37" t="inlineStr">
        <is>
          <t>Break-even and what-if</t>
        </is>
      </c>
      <c r="B1" s="38" t="n"/>
      <c r="C1" s="38" t="n"/>
      <c r="D1" s="38" t="n"/>
      <c r="E1" s="38" t="n"/>
      <c r="F1" s="38" t="n"/>
    </row>
    <row r="2" ht="15" customHeight="1" s="36">
      <c r="A2" s="39" t="inlineStr">
        <is>
          <t>All values calculate from Inputs.</t>
        </is>
      </c>
      <c r="B2" s="40" t="n"/>
      <c r="C2" s="40" t="n"/>
      <c r="D2" s="40" t="n"/>
      <c r="E2" s="40" t="n"/>
      <c r="F2" s="40" t="n"/>
    </row>
    <row r="3" ht="15" customHeight="1" s="36">
      <c r="A3" s="41" t="inlineStr">
        <is>
          <t>BREAK-EVEN</t>
        </is>
      </c>
      <c r="B3" s="42" t="n"/>
      <c r="C3" s="40" t="n"/>
      <c r="D3" s="40" t="n"/>
      <c r="E3" s="40" t="n"/>
      <c r="F3" s="40" t="n"/>
    </row>
    <row r="4" ht="15" customHeight="1" s="36">
      <c r="A4" s="45" t="inlineStr">
        <is>
          <t>Fixed costs per month</t>
        </is>
      </c>
      <c r="B4" s="55">
        <f>Inputs!B18</f>
        <v/>
      </c>
      <c r="C4" s="40" t="n"/>
      <c r="D4" s="40" t="n"/>
      <c r="E4" s="40" t="n"/>
      <c r="F4" s="40" t="n"/>
    </row>
    <row r="5" ht="15" customHeight="1" s="36">
      <c r="A5" s="45" t="inlineStr">
        <is>
          <t>Contribution margin</t>
        </is>
      </c>
      <c r="B5" s="56">
        <f>Inputs!B25</f>
        <v/>
      </c>
      <c r="C5" s="40" t="n"/>
      <c r="D5" s="40" t="n"/>
      <c r="E5" s="40" t="n"/>
      <c r="F5" s="40" t="n"/>
    </row>
    <row r="6" ht="15" customHeight="1" s="36">
      <c r="A6" s="43" t="inlineStr">
        <is>
          <t>Break-even sales per month</t>
        </is>
      </c>
      <c r="B6" s="57">
        <f>IFERROR(B4/B5,0)</f>
        <v/>
      </c>
      <c r="C6" s="40" t="n"/>
      <c r="D6" s="40" t="n"/>
      <c r="E6" s="40" t="n"/>
      <c r="F6" s="40" t="n"/>
    </row>
    <row r="7" ht="15" customHeight="1" s="36">
      <c r="A7" s="45" t="inlineStr">
        <is>
          <t>Break-even sales per day</t>
        </is>
      </c>
      <c r="B7" s="54">
        <f>IFERROR(B6/Inputs!B7,0)</f>
        <v/>
      </c>
      <c r="C7" s="40" t="n"/>
      <c r="D7" s="40" t="n"/>
      <c r="E7" s="40" t="n"/>
      <c r="F7" s="40" t="n"/>
    </row>
    <row r="8" ht="15" customHeight="1" s="36">
      <c r="A8" s="43" t="inlineStr">
        <is>
          <t>Break-even covers per day</t>
        </is>
      </c>
      <c r="B8" s="58">
        <f>IFERROR(B7/Inputs!B5,0)</f>
        <v/>
      </c>
      <c r="C8" s="40" t="n"/>
      <c r="D8" s="40" t="n"/>
      <c r="E8" s="40" t="n"/>
      <c r="F8" s="40" t="n"/>
    </row>
    <row r="9" ht="15" customHeight="1" s="36">
      <c r="A9" s="45" t="inlineStr">
        <is>
          <t>Seat turns per day at break-even</t>
        </is>
      </c>
      <c r="B9" s="59">
        <f>IFERROR(B8/Inputs!B6,0)</f>
        <v/>
      </c>
      <c r="C9" s="40" t="n"/>
      <c r="D9" s="40" t="n"/>
      <c r="E9" s="40" t="n"/>
      <c r="F9" s="40" t="n"/>
    </row>
    <row r="10" ht="15" customHeight="1" s="36">
      <c r="A10" s="45" t="inlineStr">
        <is>
          <t>Rent as % of sales at break-even</t>
        </is>
      </c>
      <c r="B10" s="60">
        <f>IFERROR(Inputs!B11/B6,0)</f>
        <v/>
      </c>
      <c r="C10" s="39" t="inlineStr">
        <is>
          <t>Rent above about 15% of sales is a warning sign.</t>
        </is>
      </c>
      <c r="D10" s="40" t="n"/>
      <c r="E10" s="40" t="n"/>
      <c r="F10" s="40" t="n"/>
    </row>
    <row r="11" ht="15" customHeight="1" s="36">
      <c r="A11" s="40" t="n"/>
      <c r="B11" s="40" t="n"/>
      <c r="C11" s="40" t="n"/>
      <c r="D11" s="40" t="n"/>
      <c r="E11" s="40" t="n"/>
      <c r="F11" s="40" t="n"/>
    </row>
    <row r="12" ht="15" customHeight="1" s="36">
      <c r="A12" s="41" t="inlineStr">
        <is>
          <t>WHAT-IF (covers per day from Inputs)</t>
        </is>
      </c>
      <c r="B12" s="42" t="n"/>
      <c r="C12" s="40" t="n"/>
      <c r="D12" s="40" t="n"/>
      <c r="E12" s="40" t="n"/>
      <c r="F12" s="40" t="n"/>
    </row>
    <row r="13" ht="15" customHeight="1" s="36">
      <c r="A13" s="45" t="inlineStr">
        <is>
          <t>Covers per day</t>
        </is>
      </c>
      <c r="B13" s="61">
        <f>Inputs!B8</f>
        <v/>
      </c>
      <c r="C13" s="40" t="n"/>
      <c r="D13" s="40" t="n"/>
      <c r="E13" s="40" t="n"/>
      <c r="F13" s="40" t="n"/>
    </row>
    <row r="14" ht="15" customHeight="1" s="36">
      <c r="A14" s="45" t="inlineStr">
        <is>
          <t>Monthly sales</t>
        </is>
      </c>
      <c r="B14" s="54">
        <f>B13*Inputs!B7*Inputs!B5</f>
        <v/>
      </c>
      <c r="C14" s="40" t="n"/>
      <c r="D14" s="40" t="n"/>
      <c r="E14" s="40" t="n"/>
      <c r="F14" s="40" t="n"/>
    </row>
    <row r="15" ht="15" customHeight="1" s="36">
      <c r="A15" s="45" t="inlineStr">
        <is>
          <t>Food cost</t>
        </is>
      </c>
      <c r="B15" s="54">
        <f>B14*Inputs!B21</f>
        <v/>
      </c>
      <c r="C15" s="40" t="n"/>
      <c r="D15" s="40" t="n"/>
      <c r="E15" s="40" t="n"/>
      <c r="F15" s="40" t="n"/>
    </row>
    <row r="16" ht="15" customHeight="1" s="36">
      <c r="A16" s="45" t="inlineStr">
        <is>
          <t>Card fees and packaging</t>
        </is>
      </c>
      <c r="B16" s="54">
        <f>B14*Inputs!B23</f>
        <v/>
      </c>
      <c r="C16" s="40" t="n"/>
      <c r="D16" s="40" t="n"/>
      <c r="E16" s="40" t="n"/>
      <c r="F16" s="40" t="n"/>
    </row>
    <row r="17" ht="15" customHeight="1" s="36">
      <c r="A17" s="45" t="inlineStr">
        <is>
          <t>Fixed costs</t>
        </is>
      </c>
      <c r="B17" s="54">
        <f>B4</f>
        <v/>
      </c>
      <c r="C17" s="40" t="n"/>
      <c r="D17" s="40" t="n"/>
      <c r="E17" s="40" t="n"/>
      <c r="F17" s="40" t="n"/>
    </row>
    <row r="18" ht="15" customHeight="1" s="36">
      <c r="A18" s="43" t="inlineStr">
        <is>
          <t>Monthly profit (before tax)</t>
        </is>
      </c>
      <c r="B18" s="57">
        <f>B14-B15-B16-B17</f>
        <v/>
      </c>
      <c r="C18" s="40" t="n"/>
      <c r="D18" s="40" t="n"/>
      <c r="E18" s="40" t="n"/>
      <c r="F18" s="40" t="n"/>
    </row>
    <row r="19" ht="15" customHeight="1" s="36">
      <c r="A19" s="45" t="inlineStr">
        <is>
          <t>Net margin</t>
        </is>
      </c>
      <c r="B19" s="60">
        <f>IFERROR(B18/B14,0)</f>
        <v/>
      </c>
      <c r="C19" s="40" t="n"/>
      <c r="D19" s="40" t="n"/>
      <c r="E19" s="40" t="n"/>
      <c r="F19" s="40" t="n"/>
    </row>
    <row r="20" ht="15" customHeight="1" s="36">
      <c r="A20" s="45" t="inlineStr">
        <is>
          <t>Prime cost % (food + staff)</t>
        </is>
      </c>
      <c r="B20" s="60">
        <f>IFERROR((B15+Inputs!B12+Inputs!B13+Inputs!B14)/B14,0)</f>
        <v/>
      </c>
      <c r="C20" s="39" t="inlineStr">
        <is>
          <t>Aim for 60-65% or lower.</t>
        </is>
      </c>
      <c r="D20" s="40" t="n"/>
      <c r="E20" s="40" t="n"/>
      <c r="F20" s="40" t="n"/>
    </row>
    <row r="21" ht="15" customHeight="1" s="36">
      <c r="A21" s="45" t="inlineStr">
        <is>
          <t>Rent % of sales</t>
        </is>
      </c>
      <c r="B21" s="60">
        <f>IFERROR(Inputs!B11/B14,0)</f>
        <v/>
      </c>
      <c r="C21" s="40" t="n"/>
      <c r="D21" s="40" t="n"/>
      <c r="E21" s="40" t="n"/>
      <c r="F21" s="40" t="n"/>
    </row>
    <row r="22" ht="15" customHeight="1" s="36">
      <c r="A22" s="43" t="inlineStr">
        <is>
          <t>Verdict</t>
        </is>
      </c>
      <c r="B22" s="43">
        <f>IF(B18&gt;=0,"Above break-even","Below break-even")</f>
        <v/>
      </c>
      <c r="C22" s="40" t="n"/>
      <c r="D22" s="40" t="n"/>
      <c r="E22" s="40" t="n"/>
      <c r="F22" s="40" t="n"/>
    </row>
    <row r="23" ht="15" customHeight="1" s="36">
      <c r="A23" s="40" t="n"/>
      <c r="B23" s="40" t="n"/>
      <c r="C23" s="40" t="n"/>
      <c r="D23" s="40" t="n"/>
      <c r="E23" s="40" t="n"/>
      <c r="F23" s="40" t="n"/>
    </row>
    <row r="24" ht="15" customHeight="1" s="36">
      <c r="A24" s="41" t="inlineStr">
        <is>
          <t>MONTHLY PROFIT: covers per day (down) by ASP (across)</t>
        </is>
      </c>
      <c r="B24" s="42" t="n"/>
      <c r="C24" s="42" t="n"/>
      <c r="D24" s="42" t="n"/>
      <c r="E24" s="42" t="n"/>
      <c r="F24" s="42" t="n"/>
    </row>
    <row r="25" ht="15" customHeight="1" s="36">
      <c r="A25" s="43" t="inlineStr">
        <is>
          <t>Covers per day / ASP (₹)</t>
        </is>
      </c>
      <c r="B25" s="62" t="n">
        <v>450</v>
      </c>
      <c r="C25" s="62" t="n">
        <v>500</v>
      </c>
      <c r="D25" s="62" t="n">
        <v>550</v>
      </c>
      <c r="E25" s="62" t="n">
        <v>600</v>
      </c>
      <c r="F25" s="62" t="n">
        <v>650</v>
      </c>
    </row>
    <row r="26" ht="15" customHeight="1" s="36">
      <c r="A26" s="47" t="n">
        <v>6</v>
      </c>
      <c r="B26" s="54">
        <f>$A26*Inputs!$B$7*B$25*Inputs!$B$25-Inputs!$B$18</f>
        <v/>
      </c>
      <c r="C26" s="54">
        <f>$A26*Inputs!$B$7*C$25*Inputs!$B$25-Inputs!$B$18</f>
        <v/>
      </c>
      <c r="D26" s="54">
        <f>$A26*Inputs!$B$7*D$25*Inputs!$B$25-Inputs!$B$18</f>
        <v/>
      </c>
      <c r="E26" s="54">
        <f>$A26*Inputs!$B$7*E$25*Inputs!$B$25-Inputs!$B$18</f>
        <v/>
      </c>
      <c r="F26" s="54">
        <f>$A26*Inputs!$B$7*F$25*Inputs!$B$25-Inputs!$B$18</f>
        <v/>
      </c>
    </row>
    <row r="27" ht="15" customHeight="1" s="36">
      <c r="A27" s="47" t="n">
        <v>8</v>
      </c>
      <c r="B27" s="54">
        <f>$A27*Inputs!$B$7*B$25*Inputs!$B$25-Inputs!$B$18</f>
        <v/>
      </c>
      <c r="C27" s="54">
        <f>$A27*Inputs!$B$7*C$25*Inputs!$B$25-Inputs!$B$18</f>
        <v/>
      </c>
      <c r="D27" s="54">
        <f>$A27*Inputs!$B$7*D$25*Inputs!$B$25-Inputs!$B$18</f>
        <v/>
      </c>
      <c r="E27" s="54">
        <f>$A27*Inputs!$B$7*E$25*Inputs!$B$25-Inputs!$B$18</f>
        <v/>
      </c>
      <c r="F27" s="54">
        <f>$A27*Inputs!$B$7*F$25*Inputs!$B$25-Inputs!$B$18</f>
        <v/>
      </c>
    </row>
    <row r="28" ht="15" customHeight="1" s="36">
      <c r="A28" s="47" t="n">
        <v>10</v>
      </c>
      <c r="B28" s="54">
        <f>$A28*Inputs!$B$7*B$25*Inputs!$B$25-Inputs!$B$18</f>
        <v/>
      </c>
      <c r="C28" s="54">
        <f>$A28*Inputs!$B$7*C$25*Inputs!$B$25-Inputs!$B$18</f>
        <v/>
      </c>
      <c r="D28" s="54">
        <f>$A28*Inputs!$B$7*D$25*Inputs!$B$25-Inputs!$B$18</f>
        <v/>
      </c>
      <c r="E28" s="54">
        <f>$A28*Inputs!$B$7*E$25*Inputs!$B$25-Inputs!$B$18</f>
        <v/>
      </c>
      <c r="F28" s="54">
        <f>$A28*Inputs!$B$7*F$25*Inputs!$B$25-Inputs!$B$18</f>
        <v/>
      </c>
    </row>
    <row r="29" ht="15" customHeight="1" s="36">
      <c r="A29" s="47" t="n">
        <v>12</v>
      </c>
      <c r="B29" s="54">
        <f>$A29*Inputs!$B$7*B$25*Inputs!$B$25-Inputs!$B$18</f>
        <v/>
      </c>
      <c r="C29" s="54">
        <f>$A29*Inputs!$B$7*C$25*Inputs!$B$25-Inputs!$B$18</f>
        <v/>
      </c>
      <c r="D29" s="54">
        <f>$A29*Inputs!$B$7*D$25*Inputs!$B$25-Inputs!$B$18</f>
        <v/>
      </c>
      <c r="E29" s="54">
        <f>$A29*Inputs!$B$7*E$25*Inputs!$B$25-Inputs!$B$18</f>
        <v/>
      </c>
      <c r="F29" s="54">
        <f>$A29*Inputs!$B$7*F$25*Inputs!$B$25-Inputs!$B$18</f>
        <v/>
      </c>
    </row>
    <row r="30" ht="15" customHeight="1" s="36">
      <c r="A30" s="47" t="n">
        <v>14</v>
      </c>
      <c r="B30" s="54">
        <f>$A30*Inputs!$B$7*B$25*Inputs!$B$25-Inputs!$B$18</f>
        <v/>
      </c>
      <c r="C30" s="54">
        <f>$A30*Inputs!$B$7*C$25*Inputs!$B$25-Inputs!$B$18</f>
        <v/>
      </c>
      <c r="D30" s="54">
        <f>$A30*Inputs!$B$7*D$25*Inputs!$B$25-Inputs!$B$18</f>
        <v/>
      </c>
      <c r="E30" s="54">
        <f>$A30*Inputs!$B$7*E$25*Inputs!$B$25-Inputs!$B$18</f>
        <v/>
      </c>
      <c r="F30" s="54">
        <f>$A30*Inputs!$B$7*F$25*Inputs!$B$25-Inputs!$B$18</f>
        <v/>
      </c>
    </row>
    <row r="31" ht="15" customHeight="1" s="36">
      <c r="A31" s="47" t="n">
        <v>16</v>
      </c>
      <c r="B31" s="54">
        <f>$A31*Inputs!$B$7*B$25*Inputs!$B$25-Inputs!$B$18</f>
        <v/>
      </c>
      <c r="C31" s="54">
        <f>$A31*Inputs!$B$7*C$25*Inputs!$B$25-Inputs!$B$18</f>
        <v/>
      </c>
      <c r="D31" s="54">
        <f>$A31*Inputs!$B$7*D$25*Inputs!$B$25-Inputs!$B$18</f>
        <v/>
      </c>
      <c r="E31" s="54">
        <f>$A31*Inputs!$B$7*E$25*Inputs!$B$25-Inputs!$B$18</f>
        <v/>
      </c>
      <c r="F31" s="54">
        <f>$A31*Inputs!$B$7*F$25*Inputs!$B$25-Inputs!$B$18</f>
        <v/>
      </c>
    </row>
    <row r="32" ht="15" customHeight="1" s="36">
      <c r="A32" s="47" t="n">
        <v>18</v>
      </c>
      <c r="B32" s="54">
        <f>$A32*Inputs!$B$7*B$25*Inputs!$B$25-Inputs!$B$18</f>
        <v/>
      </c>
      <c r="C32" s="54">
        <f>$A32*Inputs!$B$7*C$25*Inputs!$B$25-Inputs!$B$18</f>
        <v/>
      </c>
      <c r="D32" s="54">
        <f>$A32*Inputs!$B$7*D$25*Inputs!$B$25-Inputs!$B$18</f>
        <v/>
      </c>
      <c r="E32" s="54">
        <f>$A32*Inputs!$B$7*E$25*Inputs!$B$25-Inputs!$B$18</f>
        <v/>
      </c>
      <c r="F32" s="54">
        <f>$A32*Inputs!$B$7*F$25*Inputs!$B$25-Inputs!$B$18</f>
        <v/>
      </c>
    </row>
    <row r="33" ht="15" customHeight="1" s="36">
      <c r="A33" s="47" t="n">
        <v>20</v>
      </c>
      <c r="B33" s="54">
        <f>$A33*Inputs!$B$7*B$25*Inputs!$B$25-Inputs!$B$18</f>
        <v/>
      </c>
      <c r="C33" s="54">
        <f>$A33*Inputs!$B$7*C$25*Inputs!$B$25-Inputs!$B$18</f>
        <v/>
      </c>
      <c r="D33" s="54">
        <f>$A33*Inputs!$B$7*D$25*Inputs!$B$25-Inputs!$B$18</f>
        <v/>
      </c>
      <c r="E33" s="54">
        <f>$A33*Inputs!$B$7*E$25*Inputs!$B$25-Inputs!$B$18</f>
        <v/>
      </c>
      <c r="F33" s="54">
        <f>$A33*Inputs!$B$7*F$25*Inputs!$B$25-Inputs!$B$18</f>
        <v/>
      </c>
    </row>
    <row r="34" ht="15" customHeight="1" s="36">
      <c r="A34" s="47" t="n">
        <v>22</v>
      </c>
      <c r="B34" s="54">
        <f>$A34*Inputs!$B$7*B$25*Inputs!$B$25-Inputs!$B$18</f>
        <v/>
      </c>
      <c r="C34" s="54">
        <f>$A34*Inputs!$B$7*C$25*Inputs!$B$25-Inputs!$B$18</f>
        <v/>
      </c>
      <c r="D34" s="54">
        <f>$A34*Inputs!$B$7*D$25*Inputs!$B$25-Inputs!$B$18</f>
        <v/>
      </c>
      <c r="E34" s="54">
        <f>$A34*Inputs!$B$7*E$25*Inputs!$B$25-Inputs!$B$18</f>
        <v/>
      </c>
      <c r="F34" s="54">
        <f>$A34*Inputs!$B$7*F$25*Inputs!$B$25-Inputs!$B$18</f>
        <v/>
      </c>
    </row>
    <row r="35" ht="15" customHeight="1" s="36">
      <c r="A35" s="47" t="n">
        <v>24</v>
      </c>
      <c r="B35" s="54">
        <f>$A35*Inputs!$B$7*B$25*Inputs!$B$25-Inputs!$B$18</f>
        <v/>
      </c>
      <c r="C35" s="54">
        <f>$A35*Inputs!$B$7*C$25*Inputs!$B$25-Inputs!$B$18</f>
        <v/>
      </c>
      <c r="D35" s="54">
        <f>$A35*Inputs!$B$7*D$25*Inputs!$B$25-Inputs!$B$18</f>
        <v/>
      </c>
      <c r="E35" s="54">
        <f>$A35*Inputs!$B$7*E$25*Inputs!$B$25-Inputs!$B$18</f>
        <v/>
      </c>
      <c r="F35" s="54">
        <f>$A35*Inputs!$B$7*F$25*Inputs!$B$25-Inputs!$B$18</f>
        <v/>
      </c>
    </row>
    <row r="36" ht="15" customHeight="1" s="36">
      <c r="A36" s="47" t="n">
        <v>26</v>
      </c>
      <c r="B36" s="54">
        <f>$A36*Inputs!$B$7*B$25*Inputs!$B$25-Inputs!$B$18</f>
        <v/>
      </c>
      <c r="C36" s="54">
        <f>$A36*Inputs!$B$7*C$25*Inputs!$B$25-Inputs!$B$18</f>
        <v/>
      </c>
      <c r="D36" s="54">
        <f>$A36*Inputs!$B$7*D$25*Inputs!$B$25-Inputs!$B$18</f>
        <v/>
      </c>
      <c r="E36" s="54">
        <f>$A36*Inputs!$B$7*E$25*Inputs!$B$25-Inputs!$B$18</f>
        <v/>
      </c>
      <c r="F36" s="54">
        <f>$A36*Inputs!$B$7*F$25*Inputs!$B$25-Inputs!$B$18</f>
        <v/>
      </c>
    </row>
    <row r="37" ht="15" customHeight="1" s="36">
      <c r="A37" s="47" t="n">
        <v>28</v>
      </c>
      <c r="B37" s="54">
        <f>$A37*Inputs!$B$7*B$25*Inputs!$B$25-Inputs!$B$18</f>
        <v/>
      </c>
      <c r="C37" s="54">
        <f>$A37*Inputs!$B$7*C$25*Inputs!$B$25-Inputs!$B$18</f>
        <v/>
      </c>
      <c r="D37" s="54">
        <f>$A37*Inputs!$B$7*D$25*Inputs!$B$25-Inputs!$B$18</f>
        <v/>
      </c>
      <c r="E37" s="54">
        <f>$A37*Inputs!$B$7*E$25*Inputs!$B$25-Inputs!$B$18</f>
        <v/>
      </c>
      <c r="F37" s="54">
        <f>$A37*Inputs!$B$7*F$25*Inputs!$B$25-Inputs!$B$18</f>
        <v/>
      </c>
    </row>
    <row r="38" ht="15" customHeight="1" s="36">
      <c r="A38" s="47" t="n">
        <v>30</v>
      </c>
      <c r="B38" s="54">
        <f>$A38*Inputs!$B$7*B$25*Inputs!$B$25-Inputs!$B$18</f>
        <v/>
      </c>
      <c r="C38" s="54">
        <f>$A38*Inputs!$B$7*C$25*Inputs!$B$25-Inputs!$B$18</f>
        <v/>
      </c>
      <c r="D38" s="54">
        <f>$A38*Inputs!$B$7*D$25*Inputs!$B$25-Inputs!$B$18</f>
        <v/>
      </c>
      <c r="E38" s="54">
        <f>$A38*Inputs!$B$7*E$25*Inputs!$B$25-Inputs!$B$18</f>
        <v/>
      </c>
      <c r="F38" s="54">
        <f>$A38*Inputs!$B$7*F$25*Inputs!$B$25-Inputs!$B$18</f>
        <v/>
      </c>
    </row>
    <row r="39" ht="15" customHeight="1" s="36">
      <c r="A39" s="39" t="inlineStr">
        <is>
          <t>Red numbers are monthly losses. Change the blue covers and ASP values to test other cases.</t>
        </is>
      </c>
      <c r="B39" s="40" t="n"/>
      <c r="C39" s="40" t="n"/>
      <c r="D39" s="40" t="n"/>
      <c r="E39" s="40" t="n"/>
      <c r="F39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0" customWidth="1" style="35" min="1" max="1"/>
    <col width="16" customWidth="1" style="35" min="2" max="2"/>
    <col width="14" customWidth="1" style="35" min="3" max="11"/>
  </cols>
  <sheetData>
    <row r="1" ht="30" customHeight="1" s="36">
      <c r="A1" s="37" t="inlineStr">
        <is>
          <t>12-month profit by season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</row>
    <row r="2" ht="15" customHeight="1" s="36">
      <c r="A2" s="39" t="inlineStr">
        <is>
          <t>Pick each month's season in column B (Peak, Shoulder, Monsoon). Covers come from Inputs.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</row>
    <row r="3" ht="15" customHeight="1" s="36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</row>
    <row r="4" ht="30" customHeight="1" s="36">
      <c r="A4" s="52" t="inlineStr">
        <is>
          <t>Month</t>
        </is>
      </c>
      <c r="B4" s="53" t="inlineStr">
        <is>
          <t>Season</t>
        </is>
      </c>
      <c r="C4" s="53" t="inlineStr">
        <is>
          <t>Covers/day</t>
        </is>
      </c>
      <c r="D4" s="53" t="inlineStr">
        <is>
          <t>Days</t>
        </is>
      </c>
      <c r="E4" s="53" t="inlineStr">
        <is>
          <t>Sales</t>
        </is>
      </c>
      <c r="F4" s="53" t="inlineStr">
        <is>
          <t>Food cost</t>
        </is>
      </c>
      <c r="G4" s="53" t="inlineStr">
        <is>
          <t>Fees &amp; packaging</t>
        </is>
      </c>
      <c r="H4" s="53" t="inlineStr">
        <is>
          <t>Fixed costs</t>
        </is>
      </c>
      <c r="I4" s="53" t="inlineStr">
        <is>
          <t>Profit</t>
        </is>
      </c>
      <c r="J4" s="53" t="inlineStr">
        <is>
          <t>Rent % of sales</t>
        </is>
      </c>
      <c r="K4" s="53" t="inlineStr">
        <is>
          <t>Prime cost %</t>
        </is>
      </c>
    </row>
    <row r="5" ht="15" customHeight="1" s="36">
      <c r="A5" s="45" t="inlineStr">
        <is>
          <t>Apr</t>
        </is>
      </c>
      <c r="B5" s="63" t="inlineStr">
        <is>
          <t>Shoulder</t>
        </is>
      </c>
      <c r="C5" s="61">
        <f>INDEX(Inputs!$B$29:$B$31,MATCH(B5,Inputs!$A$29:$A$31,0))</f>
        <v/>
      </c>
      <c r="D5" s="61">
        <f>Inputs!$B$7</f>
        <v/>
      </c>
      <c r="E5" s="54">
        <f>C5*D5*Inputs!$B$5</f>
        <v/>
      </c>
      <c r="F5" s="54">
        <f>E5*Inputs!$B$21</f>
        <v/>
      </c>
      <c r="G5" s="54">
        <f>E5*Inputs!$B$23</f>
        <v/>
      </c>
      <c r="H5" s="55">
        <f>Inputs!$B$18</f>
        <v/>
      </c>
      <c r="I5" s="57">
        <f>E5-F5-G5-H5</f>
        <v/>
      </c>
      <c r="J5" s="60">
        <f>IFERROR(Inputs!$B$11/E5,0)</f>
        <v/>
      </c>
      <c r="K5" s="60">
        <f>IFERROR((F5+Inputs!$B$12+Inputs!$B$13+Inputs!$B$14)/E5,0)</f>
        <v/>
      </c>
    </row>
    <row r="6" ht="15" customHeight="1" s="36">
      <c r="A6" s="45" t="inlineStr">
        <is>
          <t>May</t>
        </is>
      </c>
      <c r="B6" s="63" t="inlineStr">
        <is>
          <t>Shoulder</t>
        </is>
      </c>
      <c r="C6" s="61">
        <f>INDEX(Inputs!$B$29:$B$31,MATCH(B6,Inputs!$A$29:$A$31,0))</f>
        <v/>
      </c>
      <c r="D6" s="61">
        <f>Inputs!$B$7</f>
        <v/>
      </c>
      <c r="E6" s="54">
        <f>C6*D6*Inputs!$B$5</f>
        <v/>
      </c>
      <c r="F6" s="54">
        <f>E6*Inputs!$B$21</f>
        <v/>
      </c>
      <c r="G6" s="54">
        <f>E6*Inputs!$B$23</f>
        <v/>
      </c>
      <c r="H6" s="55">
        <f>Inputs!$B$18</f>
        <v/>
      </c>
      <c r="I6" s="57">
        <f>E6-F6-G6-H6</f>
        <v/>
      </c>
      <c r="J6" s="60">
        <f>IFERROR(Inputs!$B$11/E6,0)</f>
        <v/>
      </c>
      <c r="K6" s="60">
        <f>IFERROR((F6+Inputs!$B$12+Inputs!$B$13+Inputs!$B$14)/E6,0)</f>
        <v/>
      </c>
    </row>
    <row r="7" ht="15" customHeight="1" s="36">
      <c r="A7" s="45" t="inlineStr">
        <is>
          <t>Jun</t>
        </is>
      </c>
      <c r="B7" s="63" t="inlineStr">
        <is>
          <t>Monsoon</t>
        </is>
      </c>
      <c r="C7" s="61">
        <f>INDEX(Inputs!$B$29:$B$31,MATCH(B7,Inputs!$A$29:$A$31,0))</f>
        <v/>
      </c>
      <c r="D7" s="61">
        <f>Inputs!$B$7</f>
        <v/>
      </c>
      <c r="E7" s="54">
        <f>C7*D7*Inputs!$B$5</f>
        <v/>
      </c>
      <c r="F7" s="54">
        <f>E7*Inputs!$B$21</f>
        <v/>
      </c>
      <c r="G7" s="54">
        <f>E7*Inputs!$B$23</f>
        <v/>
      </c>
      <c r="H7" s="55">
        <f>Inputs!$B$18</f>
        <v/>
      </c>
      <c r="I7" s="57">
        <f>E7-F7-G7-H7</f>
        <v/>
      </c>
      <c r="J7" s="60">
        <f>IFERROR(Inputs!$B$11/E7,0)</f>
        <v/>
      </c>
      <c r="K7" s="60">
        <f>IFERROR((F7+Inputs!$B$12+Inputs!$B$13+Inputs!$B$14)/E7,0)</f>
        <v/>
      </c>
    </row>
    <row r="8" ht="15" customHeight="1" s="36">
      <c r="A8" s="45" t="inlineStr">
        <is>
          <t>Jul</t>
        </is>
      </c>
      <c r="B8" s="63" t="inlineStr">
        <is>
          <t>Monsoon</t>
        </is>
      </c>
      <c r="C8" s="61">
        <f>INDEX(Inputs!$B$29:$B$31,MATCH(B8,Inputs!$A$29:$A$31,0))</f>
        <v/>
      </c>
      <c r="D8" s="61">
        <f>Inputs!$B$7</f>
        <v/>
      </c>
      <c r="E8" s="54">
        <f>C8*D8*Inputs!$B$5</f>
        <v/>
      </c>
      <c r="F8" s="54">
        <f>E8*Inputs!$B$21</f>
        <v/>
      </c>
      <c r="G8" s="54">
        <f>E8*Inputs!$B$23</f>
        <v/>
      </c>
      <c r="H8" s="55">
        <f>Inputs!$B$18</f>
        <v/>
      </c>
      <c r="I8" s="57">
        <f>E8-F8-G8-H8</f>
        <v/>
      </c>
      <c r="J8" s="60">
        <f>IFERROR(Inputs!$B$11/E8,0)</f>
        <v/>
      </c>
      <c r="K8" s="60">
        <f>IFERROR((F8+Inputs!$B$12+Inputs!$B$13+Inputs!$B$14)/E8,0)</f>
        <v/>
      </c>
    </row>
    <row r="9" ht="15" customHeight="1" s="36">
      <c r="A9" s="45" t="inlineStr">
        <is>
          <t>Aug</t>
        </is>
      </c>
      <c r="B9" s="63" t="inlineStr">
        <is>
          <t>Monsoon</t>
        </is>
      </c>
      <c r="C9" s="61">
        <f>INDEX(Inputs!$B$29:$B$31,MATCH(B9,Inputs!$A$29:$A$31,0))</f>
        <v/>
      </c>
      <c r="D9" s="61">
        <f>Inputs!$B$7</f>
        <v/>
      </c>
      <c r="E9" s="54">
        <f>C9*D9*Inputs!$B$5</f>
        <v/>
      </c>
      <c r="F9" s="54">
        <f>E9*Inputs!$B$21</f>
        <v/>
      </c>
      <c r="G9" s="54">
        <f>E9*Inputs!$B$23</f>
        <v/>
      </c>
      <c r="H9" s="55">
        <f>Inputs!$B$18</f>
        <v/>
      </c>
      <c r="I9" s="57">
        <f>E9-F9-G9-H9</f>
        <v/>
      </c>
      <c r="J9" s="60">
        <f>IFERROR(Inputs!$B$11/E9,0)</f>
        <v/>
      </c>
      <c r="K9" s="60">
        <f>IFERROR((F9+Inputs!$B$12+Inputs!$B$13+Inputs!$B$14)/E9,0)</f>
        <v/>
      </c>
    </row>
    <row r="10" ht="15" customHeight="1" s="36">
      <c r="A10" s="45" t="inlineStr">
        <is>
          <t>Sep</t>
        </is>
      </c>
      <c r="B10" s="63" t="inlineStr">
        <is>
          <t>Shoulder</t>
        </is>
      </c>
      <c r="C10" s="61">
        <f>INDEX(Inputs!$B$29:$B$31,MATCH(B10,Inputs!$A$29:$A$31,0))</f>
        <v/>
      </c>
      <c r="D10" s="61">
        <f>Inputs!$B$7</f>
        <v/>
      </c>
      <c r="E10" s="54">
        <f>C10*D10*Inputs!$B$5</f>
        <v/>
      </c>
      <c r="F10" s="54">
        <f>E10*Inputs!$B$21</f>
        <v/>
      </c>
      <c r="G10" s="54">
        <f>E10*Inputs!$B$23</f>
        <v/>
      </c>
      <c r="H10" s="55">
        <f>Inputs!$B$18</f>
        <v/>
      </c>
      <c r="I10" s="57">
        <f>E10-F10-G10-H10</f>
        <v/>
      </c>
      <c r="J10" s="60">
        <f>IFERROR(Inputs!$B$11/E10,0)</f>
        <v/>
      </c>
      <c r="K10" s="60">
        <f>IFERROR((F10+Inputs!$B$12+Inputs!$B$13+Inputs!$B$14)/E10,0)</f>
        <v/>
      </c>
    </row>
    <row r="11" ht="15" customHeight="1" s="36">
      <c r="A11" s="45" t="inlineStr">
        <is>
          <t>Oct</t>
        </is>
      </c>
      <c r="B11" s="63" t="inlineStr">
        <is>
          <t>Shoulder</t>
        </is>
      </c>
      <c r="C11" s="61">
        <f>INDEX(Inputs!$B$29:$B$31,MATCH(B11,Inputs!$A$29:$A$31,0))</f>
        <v/>
      </c>
      <c r="D11" s="61">
        <f>Inputs!$B$7</f>
        <v/>
      </c>
      <c r="E11" s="54">
        <f>C11*D11*Inputs!$B$5</f>
        <v/>
      </c>
      <c r="F11" s="54">
        <f>E11*Inputs!$B$21</f>
        <v/>
      </c>
      <c r="G11" s="54">
        <f>E11*Inputs!$B$23</f>
        <v/>
      </c>
      <c r="H11" s="55">
        <f>Inputs!$B$18</f>
        <v/>
      </c>
      <c r="I11" s="57">
        <f>E11-F11-G11-H11</f>
        <v/>
      </c>
      <c r="J11" s="60">
        <f>IFERROR(Inputs!$B$11/E11,0)</f>
        <v/>
      </c>
      <c r="K11" s="60">
        <f>IFERROR((F11+Inputs!$B$12+Inputs!$B$13+Inputs!$B$14)/E11,0)</f>
        <v/>
      </c>
    </row>
    <row r="12" ht="15" customHeight="1" s="36">
      <c r="A12" s="45" t="inlineStr">
        <is>
          <t>Nov</t>
        </is>
      </c>
      <c r="B12" s="63" t="inlineStr">
        <is>
          <t>Peak</t>
        </is>
      </c>
      <c r="C12" s="61">
        <f>INDEX(Inputs!$B$29:$B$31,MATCH(B12,Inputs!$A$29:$A$31,0))</f>
        <v/>
      </c>
      <c r="D12" s="61">
        <f>Inputs!$B$7</f>
        <v/>
      </c>
      <c r="E12" s="54">
        <f>C12*D12*Inputs!$B$5</f>
        <v/>
      </c>
      <c r="F12" s="54">
        <f>E12*Inputs!$B$21</f>
        <v/>
      </c>
      <c r="G12" s="54">
        <f>E12*Inputs!$B$23</f>
        <v/>
      </c>
      <c r="H12" s="55">
        <f>Inputs!$B$18</f>
        <v/>
      </c>
      <c r="I12" s="57">
        <f>E12-F12-G12-H12</f>
        <v/>
      </c>
      <c r="J12" s="60">
        <f>IFERROR(Inputs!$B$11/E12,0)</f>
        <v/>
      </c>
      <c r="K12" s="60">
        <f>IFERROR((F12+Inputs!$B$12+Inputs!$B$13+Inputs!$B$14)/E12,0)</f>
        <v/>
      </c>
    </row>
    <row r="13" ht="15" customHeight="1" s="36">
      <c r="A13" s="45" t="inlineStr">
        <is>
          <t>Dec</t>
        </is>
      </c>
      <c r="B13" s="63" t="inlineStr">
        <is>
          <t>Peak</t>
        </is>
      </c>
      <c r="C13" s="61">
        <f>INDEX(Inputs!$B$29:$B$31,MATCH(B13,Inputs!$A$29:$A$31,0))</f>
        <v/>
      </c>
      <c r="D13" s="61">
        <f>Inputs!$B$7</f>
        <v/>
      </c>
      <c r="E13" s="54">
        <f>C13*D13*Inputs!$B$5</f>
        <v/>
      </c>
      <c r="F13" s="54">
        <f>E13*Inputs!$B$21</f>
        <v/>
      </c>
      <c r="G13" s="54">
        <f>E13*Inputs!$B$23</f>
        <v/>
      </c>
      <c r="H13" s="55">
        <f>Inputs!$B$18</f>
        <v/>
      </c>
      <c r="I13" s="57">
        <f>E13-F13-G13-H13</f>
        <v/>
      </c>
      <c r="J13" s="60">
        <f>IFERROR(Inputs!$B$11/E13,0)</f>
        <v/>
      </c>
      <c r="K13" s="60">
        <f>IFERROR((F13+Inputs!$B$12+Inputs!$B$13+Inputs!$B$14)/E13,0)</f>
        <v/>
      </c>
    </row>
    <row r="14" ht="15" customHeight="1" s="36">
      <c r="A14" s="45" t="inlineStr">
        <is>
          <t>Jan</t>
        </is>
      </c>
      <c r="B14" s="63" t="inlineStr">
        <is>
          <t>Peak</t>
        </is>
      </c>
      <c r="C14" s="61">
        <f>INDEX(Inputs!$B$29:$B$31,MATCH(B14,Inputs!$A$29:$A$31,0))</f>
        <v/>
      </c>
      <c r="D14" s="61">
        <f>Inputs!$B$7</f>
        <v/>
      </c>
      <c r="E14" s="54">
        <f>C14*D14*Inputs!$B$5</f>
        <v/>
      </c>
      <c r="F14" s="54">
        <f>E14*Inputs!$B$21</f>
        <v/>
      </c>
      <c r="G14" s="54">
        <f>E14*Inputs!$B$23</f>
        <v/>
      </c>
      <c r="H14" s="55">
        <f>Inputs!$B$18</f>
        <v/>
      </c>
      <c r="I14" s="57">
        <f>E14-F14-G14-H14</f>
        <v/>
      </c>
      <c r="J14" s="60">
        <f>IFERROR(Inputs!$B$11/E14,0)</f>
        <v/>
      </c>
      <c r="K14" s="60">
        <f>IFERROR((F14+Inputs!$B$12+Inputs!$B$13+Inputs!$B$14)/E14,0)</f>
        <v/>
      </c>
    </row>
    <row r="15" ht="15" customHeight="1" s="36">
      <c r="A15" s="45" t="inlineStr">
        <is>
          <t>Feb</t>
        </is>
      </c>
      <c r="B15" s="63" t="inlineStr">
        <is>
          <t>Peak</t>
        </is>
      </c>
      <c r="C15" s="61">
        <f>INDEX(Inputs!$B$29:$B$31,MATCH(B15,Inputs!$A$29:$A$31,0))</f>
        <v/>
      </c>
      <c r="D15" s="61">
        <f>Inputs!$B$7</f>
        <v/>
      </c>
      <c r="E15" s="54">
        <f>C15*D15*Inputs!$B$5</f>
        <v/>
      </c>
      <c r="F15" s="54">
        <f>E15*Inputs!$B$21</f>
        <v/>
      </c>
      <c r="G15" s="54">
        <f>E15*Inputs!$B$23</f>
        <v/>
      </c>
      <c r="H15" s="55">
        <f>Inputs!$B$18</f>
        <v/>
      </c>
      <c r="I15" s="57">
        <f>E15-F15-G15-H15</f>
        <v/>
      </c>
      <c r="J15" s="60">
        <f>IFERROR(Inputs!$B$11/E15,0)</f>
        <v/>
      </c>
      <c r="K15" s="60">
        <f>IFERROR((F15+Inputs!$B$12+Inputs!$B$13+Inputs!$B$14)/E15,0)</f>
        <v/>
      </c>
    </row>
    <row r="16" ht="15" customHeight="1" s="36">
      <c r="A16" s="45" t="inlineStr">
        <is>
          <t>Mar</t>
        </is>
      </c>
      <c r="B16" s="63" t="inlineStr">
        <is>
          <t>Peak</t>
        </is>
      </c>
      <c r="C16" s="61">
        <f>INDEX(Inputs!$B$29:$B$31,MATCH(B16,Inputs!$A$29:$A$31,0))</f>
        <v/>
      </c>
      <c r="D16" s="61">
        <f>Inputs!$B$7</f>
        <v/>
      </c>
      <c r="E16" s="54">
        <f>C16*D16*Inputs!$B$5</f>
        <v/>
      </c>
      <c r="F16" s="54">
        <f>E16*Inputs!$B$21</f>
        <v/>
      </c>
      <c r="G16" s="54">
        <f>E16*Inputs!$B$23</f>
        <v/>
      </c>
      <c r="H16" s="55">
        <f>Inputs!$B$18</f>
        <v/>
      </c>
      <c r="I16" s="57">
        <f>E16-F16-G16-H16</f>
        <v/>
      </c>
      <c r="J16" s="60">
        <f>IFERROR(Inputs!$B$11/E16,0)</f>
        <v/>
      </c>
      <c r="K16" s="60">
        <f>IFERROR((F16+Inputs!$B$12+Inputs!$B$13+Inputs!$B$14)/E16,0)</f>
        <v/>
      </c>
    </row>
    <row r="17" ht="15" customHeight="1" s="36">
      <c r="A17" s="64" t="inlineStr">
        <is>
          <t>Year total</t>
        </is>
      </c>
      <c r="B17" s="65" t="n"/>
      <c r="C17" s="65" t="n"/>
      <c r="D17" s="65" t="n"/>
      <c r="E17" s="49">
        <f>SUM(E5:E16)</f>
        <v/>
      </c>
      <c r="F17" s="49">
        <f>SUM(F5:F16)</f>
        <v/>
      </c>
      <c r="G17" s="49">
        <f>SUM(G5:G16)</f>
        <v/>
      </c>
      <c r="H17" s="49">
        <f>SUM(H5:H16)</f>
        <v/>
      </c>
      <c r="I17" s="49">
        <f>SUM(I5:I16)</f>
        <v/>
      </c>
      <c r="J17" s="65" t="n"/>
      <c r="K17" s="65" t="n"/>
    </row>
    <row r="18" ht="15" customHeight="1" s="36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</row>
    <row r="19" ht="15" customHeight="1" s="36">
      <c r="A19" s="41" t="inlineStr">
        <is>
          <t>SUMMARY</t>
        </is>
      </c>
      <c r="B19" s="42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</row>
    <row r="20" ht="15" customHeight="1" s="36">
      <c r="A20" s="45" t="inlineStr">
        <is>
          <t>Annual sales</t>
        </is>
      </c>
      <c r="B20" s="54">
        <f>E17</f>
        <v/>
      </c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</row>
    <row r="21" ht="15" customHeight="1" s="36">
      <c r="A21" s="45" t="inlineStr">
        <is>
          <t>Annual profit before haircut</t>
        </is>
      </c>
      <c r="B21" s="54">
        <f>I17</f>
        <v/>
      </c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</row>
    <row r="22" ht="15" customHeight="1" s="36">
      <c r="A22" s="43" t="inlineStr">
        <is>
          <t>Annual profit after safety haircut</t>
        </is>
      </c>
      <c r="B22" s="57">
        <f>I17*(1-Inputs!B32)</f>
        <v/>
      </c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</row>
    <row r="23" ht="15" customHeight="1" s="36">
      <c r="A23" s="45" t="inlineStr">
        <is>
          <t>Average monthly profit (after haircut)</t>
        </is>
      </c>
      <c r="B23" s="54">
        <f>B22/12</f>
        <v/>
      </c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</row>
    <row r="24" ht="15" customHeight="1" s="36">
      <c r="A24" s="45" t="inlineStr">
        <is>
          <t>Total losses in loss-making months</t>
        </is>
      </c>
      <c r="B24" s="54">
        <f>SUMIF(I5:I16,"&lt;0")</f>
        <v/>
      </c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</row>
    <row r="25" ht="15" customHeight="1" s="36">
      <c r="A25" s="45" t="inlineStr">
        <is>
          <t>Number of loss-making months</t>
        </is>
      </c>
      <c r="B25" s="66">
        <f>COUNTIF(I5:I16,"&lt;0")</f>
        <v/>
      </c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</row>
    <row r="26" ht="15" customHeight="1" s="36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</row>
    <row r="27" ht="15" customHeight="1" s="36">
      <c r="A27" s="39" t="inlineStr">
        <is>
          <t>Profit is before owner's pay (unless entered on Inputs), income tax, and repair/replacement costs beyond the small allowance.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</row>
  </sheetData>
  <dataValidations count="1">
    <dataValidation sqref="B5:B16" showDropDown="0" showInputMessage="0" showErrorMessage="0" allowBlank="0" type="list" errorStyle="stop" operator="between">
      <formula1>Inputs!$A$29:$A$31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35" min="1" max="1"/>
    <col width="16" customWidth="1" style="35" min="2" max="2"/>
    <col width="60" customWidth="1" style="35" min="3" max="3"/>
  </cols>
  <sheetData>
    <row r="1" ht="30" customHeight="1" s="36">
      <c r="A1" s="37" t="inlineStr">
        <is>
          <t>Setup budget and payback</t>
        </is>
      </c>
      <c r="B1" s="38" t="n"/>
      <c r="C1" s="38" t="n"/>
    </row>
    <row r="2" ht="15" customHeight="1" s="36">
      <c r="A2" s="39" t="inlineStr">
        <is>
          <t>Pulls from Inputs and Seasons.</t>
        </is>
      </c>
      <c r="B2" s="40" t="n"/>
      <c r="C2" s="40" t="n"/>
    </row>
    <row r="3" ht="15" customHeight="1" s="36">
      <c r="A3" s="41" t="inlineStr">
        <is>
          <t>ONE-TIME COSTS</t>
        </is>
      </c>
      <c r="B3" s="42" t="n"/>
      <c r="C3" s="40" t="n"/>
    </row>
    <row r="4" ht="15" customHeight="1" s="36">
      <c r="A4" s="45" t="inlineStr">
        <is>
          <t>Rent deposit</t>
        </is>
      </c>
      <c r="B4" s="55">
        <f>Inputs!B36</f>
        <v/>
      </c>
      <c r="C4" s="40" t="n"/>
    </row>
    <row r="5" ht="15" customHeight="1" s="36">
      <c r="A5" s="45" t="inlineStr">
        <is>
          <t>Interiors, furniture, lighting</t>
        </is>
      </c>
      <c r="B5" s="55">
        <f>Inputs!B37</f>
        <v/>
      </c>
      <c r="C5" s="40" t="n"/>
    </row>
    <row r="6" ht="15" customHeight="1" s="36">
      <c r="A6" s="45" t="inlineStr">
        <is>
          <t>Kitchen equipment</t>
        </is>
      </c>
      <c r="B6" s="55">
        <f>Inputs!B38</f>
        <v/>
      </c>
      <c r="C6" s="40" t="n"/>
    </row>
    <row r="7" ht="15" customHeight="1" s="36">
      <c r="A7" s="45" t="inlineStr">
        <is>
          <t>Licences, FSSAI, signage</t>
        </is>
      </c>
      <c r="B7" s="55">
        <f>Inputs!B39</f>
        <v/>
      </c>
      <c r="C7" s="40" t="n"/>
    </row>
    <row r="8" ht="15" customHeight="1" s="36">
      <c r="A8" s="45" t="inlineStr">
        <is>
          <t>POS, menu, launch marketing</t>
        </is>
      </c>
      <c r="B8" s="55">
        <f>Inputs!B40</f>
        <v/>
      </c>
      <c r="C8" s="40" t="n"/>
    </row>
    <row r="9" ht="15" customHeight="1" s="36">
      <c r="A9" s="45" t="inlineStr">
        <is>
          <t>Crockery, cutlery, opening stock</t>
        </is>
      </c>
      <c r="B9" s="55">
        <f>Inputs!B41</f>
        <v/>
      </c>
      <c r="C9" s="40" t="n"/>
    </row>
    <row r="10" ht="15" customHeight="1" s="36">
      <c r="A10" s="64" t="inlineStr">
        <is>
          <t>Setup total</t>
        </is>
      </c>
      <c r="B10" s="49">
        <f>SUM(B4:B9)</f>
        <v/>
      </c>
      <c r="C10" s="40" t="n"/>
    </row>
    <row r="11" ht="15" customHeight="1" s="36">
      <c r="A11" s="45" t="inlineStr">
        <is>
          <t>Cash reserve</t>
        </is>
      </c>
      <c r="B11" s="54">
        <f>Inputs!B42*Inputs!B18</f>
        <v/>
      </c>
      <c r="C11" s="39" t="inlineStr">
        <is>
          <t>Months of fixed costs from Inputs.</t>
        </is>
      </c>
    </row>
    <row r="12" ht="15" customHeight="1" s="36">
      <c r="A12" s="64" t="inlineStr">
        <is>
          <t>Total with reserve</t>
        </is>
      </c>
      <c r="B12" s="49">
        <f>B10+B11</f>
        <v/>
      </c>
      <c r="C12" s="40" t="n"/>
    </row>
    <row r="13" ht="15" customHeight="1" s="36">
      <c r="A13" s="45" t="inlineStr">
        <is>
          <t>Your budget</t>
        </is>
      </c>
      <c r="B13" s="55">
        <f>Inputs!B43</f>
        <v/>
      </c>
      <c r="C13" s="40" t="n"/>
    </row>
    <row r="14" ht="15" customHeight="1" s="36">
      <c r="A14" s="64" t="inlineStr">
        <is>
          <t>Headroom (budget minus total)</t>
        </is>
      </c>
      <c r="B14" s="49">
        <f>B13-B12</f>
        <v/>
      </c>
      <c r="C14" s="39" t="inlineStr">
        <is>
          <t>Negative means the plan exceeds your budget: cut costs or shrink the reserve.</t>
        </is>
      </c>
    </row>
    <row r="15" ht="15" customHeight="1" s="36">
      <c r="A15" s="40" t="n"/>
      <c r="B15" s="40" t="n"/>
      <c r="C15" s="40" t="n"/>
    </row>
    <row r="16" ht="15" customHeight="1" s="36">
      <c r="A16" s="41" t="inlineStr">
        <is>
          <t>PAYBACK</t>
        </is>
      </c>
      <c r="B16" s="42" t="n"/>
      <c r="C16" s="40" t="n"/>
    </row>
    <row r="17" ht="15" customHeight="1" s="36">
      <c r="A17" s="45" t="inlineStr">
        <is>
          <t>Setup cost (excluding reserve)</t>
        </is>
      </c>
      <c r="B17" s="54">
        <f>B10</f>
        <v/>
      </c>
      <c r="C17" s="40" t="n"/>
    </row>
    <row r="18" ht="15" customHeight="1" s="36">
      <c r="A18" s="45" t="inlineStr">
        <is>
          <t>Average monthly profit (after haircut)</t>
        </is>
      </c>
      <c r="B18" s="55">
        <f>Seasons!B23</f>
        <v/>
      </c>
      <c r="C18" s="40" t="n"/>
    </row>
    <row r="19" ht="15" customHeight="1" s="36">
      <c r="A19" s="43" t="inlineStr">
        <is>
          <t>Payback in months (conservative)</t>
        </is>
      </c>
      <c r="B19" s="58">
        <f>IF(B18&gt;0,B17/B18,"n/a")</f>
        <v/>
      </c>
      <c r="C19" s="39" t="inlineStr">
        <is>
          <t>Treat any payback under 12 months with suspicion; 18-30 months is normal.</t>
        </is>
      </c>
    </row>
    <row r="20" ht="15" customHeight="1" s="36">
      <c r="A20" s="45" t="inlineStr">
        <is>
          <t>Shoulder-season monthly profit</t>
        </is>
      </c>
      <c r="B20" s="55">
        <f>INDEX(Seasons!I5:I16,MATCH("Shoulder",Seasons!B5:B16,0))</f>
        <v/>
      </c>
      <c r="C20" s="40" t="n"/>
    </row>
    <row r="21" ht="15" customHeight="1" s="36">
      <c r="A21" s="43" t="inlineStr">
        <is>
          <t>Payback in months at shoulder profit</t>
        </is>
      </c>
      <c r="B21" s="58">
        <f>IF(B20&gt;0,B17/B20,"n/a")</f>
        <v/>
      </c>
      <c r="C21" s="40" t="n"/>
    </row>
    <row r="22" ht="15" customHeight="1" s="36">
      <c r="A22" s="45" t="inlineStr">
        <is>
          <t>Monsoon-type losses over the year</t>
        </is>
      </c>
      <c r="B22" s="55">
        <f>Seasons!B24</f>
        <v/>
      </c>
      <c r="C22" s="40" t="n"/>
    </row>
    <row r="23" ht="15" customHeight="1" s="36">
      <c r="A23" s="43" t="inlineStr">
        <is>
          <t>Does the reserve cover those losses?</t>
        </is>
      </c>
      <c r="B23" s="43">
        <f>IF(B11&gt;=-B22,"Yes","No")</f>
        <v/>
      </c>
      <c r="C23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35" min="1" max="1"/>
    <col width="14" customWidth="1" style="35" min="2" max="9"/>
    <col width="16" customWidth="1" style="35" min="10" max="10"/>
  </cols>
  <sheetData>
    <row r="1" ht="30" customHeight="1" s="36">
      <c r="A1" s="37" t="inlineStr">
        <is>
          <t>Menu pricing check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</row>
    <row r="2" ht="15" customHeight="1" s="36">
      <c r="A2" s="39" t="inlineStr">
        <is>
          <t>Dish prices and ingredient costs are my estimates; replace them with your real recipe costs.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</row>
    <row r="3" ht="15" customHeight="1" s="36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 ht="42" customHeight="1" s="36">
      <c r="A4" s="52" t="inlineStr">
        <is>
          <t>Dish</t>
        </is>
      </c>
      <c r="B4" s="53" t="inlineStr">
        <is>
          <t>Price (₹, pre-GST)</t>
        </is>
      </c>
      <c r="C4" s="53" t="inlineStr">
        <is>
          <t>Ingredient cost (₹)</t>
        </is>
      </c>
      <c r="D4" s="53" t="inlineStr">
        <is>
          <t>Share of items sold</t>
        </is>
      </c>
      <c r="E4" s="53" t="inlineStr">
        <is>
          <t>Cost incl. waste (₹)</t>
        </is>
      </c>
      <c r="F4" s="53" t="inlineStr">
        <is>
          <t>Food cost % (theory)</t>
        </is>
      </c>
      <c r="G4" s="53" t="inlineStr">
        <is>
          <t>Food cost % (actual)</t>
        </is>
      </c>
      <c r="H4" s="53" t="inlineStr">
        <is>
          <t>Gross margin (₹)</t>
        </is>
      </c>
      <c r="I4" s="53" t="inlineStr">
        <is>
          <t>Min price at target (₹)</t>
        </is>
      </c>
      <c r="J4" s="53" t="inlineStr">
        <is>
          <t>Status</t>
        </is>
      </c>
    </row>
    <row r="5" ht="15" customHeight="1" s="36">
      <c r="A5" s="63" t="inlineStr">
        <is>
          <t>Steamed momos (6 pc)</t>
        </is>
      </c>
      <c r="B5" s="46" t="n">
        <v>160</v>
      </c>
      <c r="C5" s="46" t="n">
        <v>38</v>
      </c>
      <c r="D5" s="67" t="n">
        <v>0.2</v>
      </c>
      <c r="E5" s="68">
        <f>C5*(1+Inputs!$B$22)</f>
        <v/>
      </c>
      <c r="F5" s="60">
        <f>IFERROR(C5/B5,0)</f>
        <v/>
      </c>
      <c r="G5" s="69">
        <f>IFERROR(E5/B5,0)</f>
        <v/>
      </c>
      <c r="H5" s="54">
        <f>B5-E5</f>
        <v/>
      </c>
      <c r="I5" s="54">
        <f>IFERROR(E5/Inputs!$B$21,0)</f>
        <v/>
      </c>
      <c r="J5" s="45">
        <f>IF(G5&gt;Inputs!$B$21,"Above target","OK")</f>
        <v/>
      </c>
    </row>
    <row r="6" ht="15" customHeight="1" s="36">
      <c r="A6" s="63" t="inlineStr">
        <is>
          <t>Thukpa</t>
        </is>
      </c>
      <c r="B6" s="46" t="n">
        <v>250</v>
      </c>
      <c r="C6" s="46" t="n">
        <v>68</v>
      </c>
      <c r="D6" s="67" t="n">
        <v>0.1</v>
      </c>
      <c r="E6" s="68">
        <f>C6*(1+Inputs!$B$22)</f>
        <v/>
      </c>
      <c r="F6" s="60">
        <f>IFERROR(C6/B6,0)</f>
        <v/>
      </c>
      <c r="G6" s="69">
        <f>IFERROR(E6/B6,0)</f>
        <v/>
      </c>
      <c r="H6" s="54">
        <f>B6-E6</f>
        <v/>
      </c>
      <c r="I6" s="54">
        <f>IFERROR(E6/Inputs!$B$21,0)</f>
        <v/>
      </c>
      <c r="J6" s="45">
        <f>IF(G6&gt;Inputs!$B$21,"Above target","OK")</f>
        <v/>
      </c>
    </row>
    <row r="7" ht="15" customHeight="1" s="36">
      <c r="A7" s="63" t="inlineStr">
        <is>
          <t>Veg fried rice / noodles</t>
        </is>
      </c>
      <c r="B7" s="46" t="n">
        <v>230</v>
      </c>
      <c r="C7" s="46" t="n">
        <v>52</v>
      </c>
      <c r="D7" s="67" t="n">
        <v>0.08</v>
      </c>
      <c r="E7" s="68">
        <f>C7*(1+Inputs!$B$22)</f>
        <v/>
      </c>
      <c r="F7" s="60">
        <f>IFERROR(C7/B7,0)</f>
        <v/>
      </c>
      <c r="G7" s="69">
        <f>IFERROR(E7/B7,0)</f>
        <v/>
      </c>
      <c r="H7" s="54">
        <f>B7-E7</f>
        <v/>
      </c>
      <c r="I7" s="54">
        <f>IFERROR(E7/Inputs!$B$21,0)</f>
        <v/>
      </c>
      <c r="J7" s="45">
        <f>IF(G7&gt;Inputs!$B$21,"Above target","OK")</f>
        <v/>
      </c>
    </row>
    <row r="8" ht="15" customHeight="1" s="36">
      <c r="A8" s="63" t="inlineStr">
        <is>
          <t>Chicken fried rice / noodles</t>
        </is>
      </c>
      <c r="B8" s="46" t="n">
        <v>265</v>
      </c>
      <c r="C8" s="46" t="n">
        <v>72</v>
      </c>
      <c r="D8" s="67" t="n">
        <v>0.12</v>
      </c>
      <c r="E8" s="68">
        <f>C8*(1+Inputs!$B$22)</f>
        <v/>
      </c>
      <c r="F8" s="60">
        <f>IFERROR(C8/B8,0)</f>
        <v/>
      </c>
      <c r="G8" s="69">
        <f>IFERROR(E8/B8,0)</f>
        <v/>
      </c>
      <c r="H8" s="54">
        <f>B8-E8</f>
        <v/>
      </c>
      <c r="I8" s="54">
        <f>IFERROR(E8/Inputs!$B$21,0)</f>
        <v/>
      </c>
      <c r="J8" s="45">
        <f>IF(G8&gt;Inputs!$B$21,"Above target","OK")</f>
        <v/>
      </c>
    </row>
    <row r="9" ht="15" customHeight="1" s="36">
      <c r="A9" s="63" t="inlineStr">
        <is>
          <t>Chilli chicken</t>
        </is>
      </c>
      <c r="B9" s="46" t="n">
        <v>330</v>
      </c>
      <c r="C9" s="46" t="n">
        <v>92</v>
      </c>
      <c r="D9" s="67" t="n">
        <v>0.14</v>
      </c>
      <c r="E9" s="68">
        <f>C9*(1+Inputs!$B$22)</f>
        <v/>
      </c>
      <c r="F9" s="60">
        <f>IFERROR(C9/B9,0)</f>
        <v/>
      </c>
      <c r="G9" s="69">
        <f>IFERROR(E9/B9,0)</f>
        <v/>
      </c>
      <c r="H9" s="54">
        <f>B9-E9</f>
        <v/>
      </c>
      <c r="I9" s="54">
        <f>IFERROR(E9/Inputs!$B$21,0)</f>
        <v/>
      </c>
      <c r="J9" s="45">
        <f>IF(G9&gt;Inputs!$B$21,"Above target","OK")</f>
        <v/>
      </c>
    </row>
    <row r="10" ht="15" customHeight="1" s="36">
      <c r="A10" s="63" t="inlineStr">
        <is>
          <t>Kimchi fried rice</t>
        </is>
      </c>
      <c r="B10" s="46" t="n">
        <v>320</v>
      </c>
      <c r="C10" s="46" t="n">
        <v>82</v>
      </c>
      <c r="D10" s="67" t="n">
        <v>0.1</v>
      </c>
      <c r="E10" s="68">
        <f>C10*(1+Inputs!$B$22)</f>
        <v/>
      </c>
      <c r="F10" s="60">
        <f>IFERROR(C10/B10,0)</f>
        <v/>
      </c>
      <c r="G10" s="69">
        <f>IFERROR(E10/B10,0)</f>
        <v/>
      </c>
      <c r="H10" s="54">
        <f>B10-E10</f>
        <v/>
      </c>
      <c r="I10" s="54">
        <f>IFERROR(E10/Inputs!$B$21,0)</f>
        <v/>
      </c>
      <c r="J10" s="45">
        <f>IF(G10&gt;Inputs!$B$21,"Above target","OK")</f>
        <v/>
      </c>
    </row>
    <row r="11" ht="15" customHeight="1" s="36">
      <c r="A11" s="63" t="inlineStr">
        <is>
          <t>Korean fried chicken wings</t>
        </is>
      </c>
      <c r="B11" s="46" t="n">
        <v>370</v>
      </c>
      <c r="C11" s="46" t="n">
        <v>120</v>
      </c>
      <c r="D11" s="67" t="n">
        <v>0.1</v>
      </c>
      <c r="E11" s="68">
        <f>C11*(1+Inputs!$B$22)</f>
        <v/>
      </c>
      <c r="F11" s="60">
        <f>IFERROR(C11/B11,0)</f>
        <v/>
      </c>
      <c r="G11" s="69">
        <f>IFERROR(E11/B11,0)</f>
        <v/>
      </c>
      <c r="H11" s="54">
        <f>B11-E11</f>
        <v/>
      </c>
      <c r="I11" s="54">
        <f>IFERROR(E11/Inputs!$B$21,0)</f>
        <v/>
      </c>
      <c r="J11" s="45">
        <f>IF(G11&gt;Inputs!$B$21,"Above target","OK")</f>
        <v/>
      </c>
    </row>
    <row r="12" ht="15" customHeight="1" s="36">
      <c r="A12" s="63" t="inlineStr">
        <is>
          <t>Soft drink / lime / iced tea</t>
        </is>
      </c>
      <c r="B12" s="46" t="n">
        <v>100</v>
      </c>
      <c r="C12" s="46" t="n">
        <v>16</v>
      </c>
      <c r="D12" s="67" t="n">
        <v>0.16</v>
      </c>
      <c r="E12" s="68">
        <f>C12*(1+Inputs!$B$22)</f>
        <v/>
      </c>
      <c r="F12" s="60">
        <f>IFERROR(C12/B12,0)</f>
        <v/>
      </c>
      <c r="G12" s="69">
        <f>IFERROR(E12/B12,0)</f>
        <v/>
      </c>
      <c r="H12" s="54">
        <f>B12-E12</f>
        <v/>
      </c>
      <c r="I12" s="54">
        <f>IFERROR(E12/Inputs!$B$21,0)</f>
        <v/>
      </c>
      <c r="J12" s="45">
        <f>IF(G12&gt;Inputs!$B$21,"Above target","OK")</f>
        <v/>
      </c>
    </row>
    <row r="13" ht="15" customHeight="1" s="36">
      <c r="A13" s="64" t="inlineStr">
        <is>
          <t>Mix total (must be 100%)</t>
        </is>
      </c>
      <c r="B13" s="65" t="n"/>
      <c r="C13" s="65" t="n"/>
      <c r="D13" s="70">
        <f>SUM(D5:D12)</f>
        <v/>
      </c>
      <c r="E13" s="65" t="n"/>
      <c r="F13" s="65" t="n"/>
      <c r="G13" s="65" t="n"/>
      <c r="H13" s="65" t="n"/>
      <c r="I13" s="65" t="n"/>
      <c r="J13" s="65" t="n"/>
    </row>
    <row r="14" ht="15" customHeight="1" s="36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</row>
    <row r="15" ht="15" customHeight="1" s="36">
      <c r="A15" s="41" t="inlineStr">
        <is>
          <t>BLENDED RESULT</t>
        </is>
      </c>
      <c r="B15" s="42" t="n"/>
      <c r="C15" s="40" t="n"/>
      <c r="D15" s="40" t="n"/>
      <c r="E15" s="40" t="n"/>
      <c r="F15" s="40" t="n"/>
      <c r="G15" s="40" t="n"/>
      <c r="H15" s="40" t="n"/>
      <c r="I15" s="40" t="n"/>
      <c r="J15" s="40" t="n"/>
    </row>
    <row r="16" ht="15" customHeight="1" s="36">
      <c r="A16" s="45" t="inlineStr">
        <is>
          <t>Weighted average price per item</t>
        </is>
      </c>
      <c r="B16" s="54">
        <f>SUMPRODUCT(B5:B12,D5:D12)/D13</f>
        <v/>
      </c>
      <c r="C16" s="40" t="n"/>
      <c r="D16" s="40" t="n"/>
      <c r="E16" s="40" t="n"/>
      <c r="F16" s="40" t="n"/>
      <c r="G16" s="40" t="n"/>
      <c r="H16" s="40" t="n"/>
      <c r="I16" s="40" t="n"/>
      <c r="J16" s="40" t="n"/>
    </row>
    <row r="17" ht="15" customHeight="1" s="36">
      <c r="A17" s="45" t="inlineStr">
        <is>
          <t>Weighted ingredient cost incl. waste</t>
        </is>
      </c>
      <c r="B17" s="68">
        <f>SUMPRODUCT(E5:E12,D5:D12)/D13</f>
        <v/>
      </c>
      <c r="C17" s="40" t="n"/>
      <c r="D17" s="40" t="n"/>
      <c r="E17" s="40" t="n"/>
      <c r="F17" s="40" t="n"/>
      <c r="G17" s="40" t="n"/>
      <c r="H17" s="40" t="n"/>
      <c r="I17" s="40" t="n"/>
      <c r="J17" s="40" t="n"/>
    </row>
    <row r="18" ht="15" customHeight="1" s="36">
      <c r="A18" s="43" t="inlineStr">
        <is>
          <t>Blended food cost % (menu)</t>
        </is>
      </c>
      <c r="B18" s="69">
        <f>IFERROR(B17/B16,0)</f>
        <v/>
      </c>
      <c r="C18" s="40" t="n"/>
      <c r="D18" s="40" t="n"/>
      <c r="E18" s="40" t="n"/>
      <c r="F18" s="40" t="n"/>
      <c r="G18" s="40" t="n"/>
      <c r="H18" s="40" t="n"/>
      <c r="I18" s="40" t="n"/>
      <c r="J18" s="40" t="n"/>
    </row>
    <row r="19" ht="15" customHeight="1" s="36">
      <c r="A19" s="45" t="inlineStr">
        <is>
          <t>Food cost % assumed in model</t>
        </is>
      </c>
      <c r="B19" s="60">
        <f>Inputs!B21</f>
        <v/>
      </c>
      <c r="C19" s="40" t="n"/>
      <c r="D19" s="40" t="n"/>
      <c r="E19" s="40" t="n"/>
      <c r="F19" s="40" t="n"/>
      <c r="G19" s="40" t="n"/>
      <c r="H19" s="40" t="n"/>
      <c r="I19" s="40" t="n"/>
      <c r="J19" s="40" t="n"/>
    </row>
    <row r="20" ht="15" customHeight="1" s="36">
      <c r="A20" s="45" t="inlineStr">
        <is>
          <t>Implied ASP (avg price x items per guest)</t>
        </is>
      </c>
      <c r="B20" s="54">
        <f>B16*Inputs!B9</f>
        <v/>
      </c>
      <c r="C20" s="40" t="n"/>
      <c r="D20" s="40" t="n"/>
      <c r="E20" s="40" t="n"/>
      <c r="F20" s="40" t="n"/>
      <c r="G20" s="40" t="n"/>
      <c r="H20" s="40" t="n"/>
      <c r="I20" s="40" t="n"/>
      <c r="J20" s="40" t="n"/>
    </row>
    <row r="21" ht="15" customHeight="1" s="36">
      <c r="A21" s="45" t="inlineStr">
        <is>
          <t>ASP assumed in model</t>
        </is>
      </c>
      <c r="B21" s="54">
        <f>Inputs!B5</f>
        <v/>
      </c>
      <c r="C21" s="40" t="n"/>
      <c r="D21" s="40" t="n"/>
      <c r="E21" s="40" t="n"/>
      <c r="F21" s="40" t="n"/>
      <c r="G21" s="40" t="n"/>
      <c r="H21" s="40" t="n"/>
      <c r="I21" s="40" t="n"/>
      <c r="J21" s="40" t="n"/>
    </row>
    <row r="22" ht="15" customHeight="1" s="36">
      <c r="A22" s="43" t="inlineStr">
        <is>
          <t>Check</t>
        </is>
      </c>
      <c r="B22" s="43">
        <f>IF(ABS(D13-1)&gt;0.001,"Mix % must total 100%",IF(B18&gt;B19+0.02,"Menu runs hotter than the model: raise prices or raise the food cost input","Menu and model roughly agree"))</f>
        <v/>
      </c>
      <c r="C22" s="40" t="n"/>
      <c r="D22" s="40" t="n"/>
      <c r="E22" s="40" t="n"/>
      <c r="F22" s="40" t="n"/>
      <c r="G22" s="40" t="n"/>
      <c r="H22" s="40" t="n"/>
      <c r="I22" s="40" t="n"/>
      <c r="J22" s="40" t="n"/>
    </row>
    <row r="23" ht="15" customHeight="1" s="36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</row>
    <row r="24" ht="15" customHeight="1" s="36">
      <c r="A24" s="39" t="inlineStr">
        <is>
          <t>Min price at target = cost incl. waste divided by the target food cost %. Dishes marked 'Above target' need a price rise, a smaller portion, or a cheaper ingredient.</t>
        </is>
      </c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en-AE</dc:language>
  <dcterms:created xsi:type="dcterms:W3CDTF">2026-10-05T13:25:25Z</dcterms:created>
  <dcterms:modified xsi:type="dcterms:W3CDTF">2026-10-19T12:41:33Z</dcterms:modified>
  <cp:revision>0</cp:revision>
</cp:coreProperties>
</file>